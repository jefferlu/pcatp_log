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effer/workspace/github/pin-finder/.doc/"/>
    </mc:Choice>
  </mc:AlternateContent>
  <xr:revisionPtr revIDLastSave="0" documentId="13_ncr:1_{5AE7C816-30C8-074B-B9EA-657AC37B7E5D}" xr6:coauthVersionLast="47" xr6:coauthVersionMax="47" xr10:uidLastSave="{00000000-0000-0000-0000-000000000000}"/>
  <bookViews>
    <workbookView xWindow="0" yWindow="0" windowWidth="33600" windowHeight="21000" xr2:uid="{C0DE9AAA-5885-45F4-995C-C6A7966C5A68}"/>
  </bookViews>
  <sheets>
    <sheet name="EVO High variant CS load box" sheetId="1" r:id="rId1"/>
  </sheets>
  <definedNames>
    <definedName name="_xlnm._FilterDatabase" localSheetId="0" hidden="1">'EVO High variant CS load box'!$B$3:$O$100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  <c r="I99" i="1"/>
  <c r="I96" i="1"/>
  <c r="I94" i="1"/>
  <c r="I93" i="1"/>
  <c r="I92" i="1"/>
  <c r="I90" i="1"/>
  <c r="I89" i="1"/>
  <c r="I88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<sst xmlns="http://schemas.openxmlformats.org/spreadsheetml/2006/main" count="768" uniqueCount="338">
  <si>
    <t>No.</t>
    <phoneticPr fontId="2" type="noConversion"/>
  </si>
  <si>
    <t>Function Group</t>
  </si>
  <si>
    <t>Pin no.</t>
    <phoneticPr fontId="2" type="noConversion"/>
  </si>
  <si>
    <t>EVO Net Name</t>
    <phoneticPr fontId="2" type="noConversion"/>
  </si>
  <si>
    <t>Gen1 Net Name</t>
    <phoneticPr fontId="2" type="noConversion"/>
  </si>
  <si>
    <r>
      <rPr>
        <sz val="14"/>
        <color rgb="FF000000"/>
        <rFont val="細明體"/>
        <family val="3"/>
        <charset val="136"/>
      </rPr>
      <t>電壓</t>
    </r>
    <r>
      <rPr>
        <sz val="14"/>
        <color rgb="FF000000"/>
        <rFont val="Arial"/>
        <family val="2"/>
      </rPr>
      <t xml:space="preserve"> (V)</t>
    </r>
    <phoneticPr fontId="2" type="noConversion"/>
  </si>
  <si>
    <t>Load resistor</t>
  </si>
  <si>
    <r>
      <rPr>
        <sz val="14"/>
        <color rgb="FF000000"/>
        <rFont val="細明體"/>
        <family val="3"/>
        <charset val="136"/>
      </rPr>
      <t>電流</t>
    </r>
    <r>
      <rPr>
        <sz val="14"/>
        <color rgb="FF000000"/>
        <rFont val="Arial"/>
        <family val="2"/>
      </rPr>
      <t xml:space="preserve"> (A)</t>
    </r>
    <phoneticPr fontId="2" type="noConversion"/>
  </si>
  <si>
    <t>紅色接頭</t>
  </si>
  <si>
    <t>黑色接頭</t>
  </si>
  <si>
    <t>GND cable</t>
    <phoneticPr fontId="2" type="noConversion"/>
  </si>
  <si>
    <t>Y端</t>
    <phoneticPr fontId="2" type="noConversion"/>
  </si>
  <si>
    <t>EVO IMM Group</t>
    <phoneticPr fontId="2" type="noConversion"/>
  </si>
  <si>
    <r>
      <rPr>
        <sz val="14"/>
        <color rgb="FF000000"/>
        <rFont val="新細明體"/>
        <family val="2"/>
        <charset val="136"/>
      </rPr>
      <t>箱體層數</t>
    </r>
    <phoneticPr fontId="2" type="noConversion"/>
  </si>
  <si>
    <t>LSD</t>
  </si>
  <si>
    <t>X1_F02</t>
  </si>
  <si>
    <t>LSD_5</t>
  </si>
  <si>
    <t>OL_03_0041</t>
    <phoneticPr fontId="2" type="noConversion"/>
  </si>
  <si>
    <t>VCC</t>
  </si>
  <si>
    <t>C</t>
    <phoneticPr fontId="2" type="noConversion"/>
  </si>
  <si>
    <t>LV1-1</t>
    <phoneticPr fontId="2" type="noConversion"/>
  </si>
  <si>
    <t>X1_F03</t>
  </si>
  <si>
    <t>LSD_6</t>
  </si>
  <si>
    <t>OL_04_3975</t>
  </si>
  <si>
    <t>D</t>
    <phoneticPr fontId="2" type="noConversion"/>
  </si>
  <si>
    <t>HSD</t>
    <phoneticPr fontId="2" type="noConversion"/>
  </si>
  <si>
    <t>X5_C09</t>
  </si>
  <si>
    <t>HSD_H4_4</t>
  </si>
  <si>
    <t>ODH_04_0149</t>
    <phoneticPr fontId="2" type="noConversion"/>
  </si>
  <si>
    <t>GND</t>
  </si>
  <si>
    <t>11T-22Y-1</t>
    <phoneticPr fontId="2" type="noConversion"/>
  </si>
  <si>
    <t>A</t>
    <phoneticPr fontId="2" type="noConversion"/>
  </si>
  <si>
    <t>X1_A15</t>
  </si>
  <si>
    <t>HSD_H1_5</t>
  </si>
  <si>
    <t>ODH_06_0798</t>
    <phoneticPr fontId="2" type="noConversion"/>
  </si>
  <si>
    <t>E</t>
    <phoneticPr fontId="2" type="noConversion"/>
  </si>
  <si>
    <t>X1_A11</t>
  </si>
  <si>
    <t>HSD_H1_1</t>
  </si>
  <si>
    <t>ODH_07_0800</t>
    <phoneticPr fontId="2" type="noConversion"/>
  </si>
  <si>
    <t>B</t>
    <phoneticPr fontId="2" type="noConversion"/>
  </si>
  <si>
    <t>X1_A12</t>
  </si>
  <si>
    <t>HSD_H1_2</t>
  </si>
  <si>
    <t>ODH_09_2510</t>
    <phoneticPr fontId="2" type="noConversion"/>
  </si>
  <si>
    <t>X1_F11</t>
  </si>
  <si>
    <t>HSD_D12_0</t>
  </si>
  <si>
    <t>ODH_106_2509</t>
    <phoneticPr fontId="2" type="noConversion"/>
  </si>
  <si>
    <t>X1_F06</t>
  </si>
  <si>
    <t>HSD_D3_0</t>
  </si>
  <si>
    <t>ODH_109_4025</t>
    <phoneticPr fontId="2" type="noConversion"/>
  </si>
  <si>
    <t>X1_A05</t>
  </si>
  <si>
    <t>HSD_H2_5</t>
  </si>
  <si>
    <t>ODH_112_3978</t>
    <phoneticPr fontId="2" type="noConversion"/>
  </si>
  <si>
    <t>F</t>
    <phoneticPr fontId="2" type="noConversion"/>
  </si>
  <si>
    <t>X1_F12</t>
  </si>
  <si>
    <t>HSD_D12_1</t>
  </si>
  <si>
    <t>ODH_113_3979</t>
    <phoneticPr fontId="2" type="noConversion"/>
  </si>
  <si>
    <t>X1_A06</t>
  </si>
  <si>
    <t>HSD_H2_4</t>
  </si>
  <si>
    <t>ODH_155_3968</t>
  </si>
  <si>
    <t>X1_A14</t>
  </si>
  <si>
    <t>HSD_H1_4</t>
  </si>
  <si>
    <t>ODH_156_3967</t>
  </si>
  <si>
    <t>LV1-2</t>
    <phoneticPr fontId="2" type="noConversion"/>
  </si>
  <si>
    <t>X1_A03</t>
  </si>
  <si>
    <t>HSD_Q1_0</t>
  </si>
  <si>
    <t>ODH_158_2502</t>
  </si>
  <si>
    <t>X1_A01</t>
  </si>
  <si>
    <t>HSD_Q1_3</t>
  </si>
  <si>
    <t xml:space="preserve">ODH_163_0109 </t>
  </si>
  <si>
    <t>X4_C13</t>
  </si>
  <si>
    <t>HSD_H6_4</t>
  </si>
  <si>
    <t>ODH_173_9047</t>
  </si>
  <si>
    <t>X1_F05</t>
  </si>
  <si>
    <t>HSD_H3_5</t>
    <phoneticPr fontId="2" type="noConversion"/>
  </si>
  <si>
    <t>ODH_174_0222</t>
  </si>
  <si>
    <t>X1_A07</t>
  </si>
  <si>
    <t>HSD_H2_3</t>
  </si>
  <si>
    <t>ODH_30_0045</t>
  </si>
  <si>
    <t>X1_F08</t>
  </si>
  <si>
    <t>HSD_H2_0</t>
  </si>
  <si>
    <t>ODH_32_0426</t>
  </si>
  <si>
    <t>X1_A08</t>
  </si>
  <si>
    <t>HSD_H2_2</t>
  </si>
  <si>
    <t>ODH_44_2514</t>
  </si>
  <si>
    <t>X3_B07</t>
  </si>
  <si>
    <t>LSD_4</t>
  </si>
  <si>
    <t>OL_05_0423</t>
    <phoneticPr fontId="2" type="noConversion"/>
  </si>
  <si>
    <t>X3_A07</t>
  </si>
  <si>
    <t>HSD_D6_1</t>
  </si>
  <si>
    <t>ODH_53_1490</t>
    <phoneticPr fontId="2" type="noConversion"/>
  </si>
  <si>
    <t>X1_A10</t>
  </si>
  <si>
    <t>HSD_H1_0</t>
  </si>
  <si>
    <t>ODH_08_0548</t>
    <phoneticPr fontId="2" type="noConversion"/>
  </si>
  <si>
    <t>X2_B02</t>
  </si>
  <si>
    <t>HSD_18</t>
  </si>
  <si>
    <t>ODH_148_2418</t>
  </si>
  <si>
    <t>LV1-3</t>
    <phoneticPr fontId="2" type="noConversion"/>
  </si>
  <si>
    <t>X2_F03</t>
  </si>
  <si>
    <t>HSD_D1_0</t>
  </si>
  <si>
    <t>ODH_135_2323</t>
  </si>
  <si>
    <t>X3_A05</t>
  </si>
  <si>
    <t>HSD_D7_1</t>
  </si>
  <si>
    <t>ODH_159_0280</t>
  </si>
  <si>
    <t>X4_B10</t>
  </si>
  <si>
    <t>HSD_Q3_0</t>
  </si>
  <si>
    <t>ODH_166_0407</t>
  </si>
  <si>
    <t>11T-22Y-2</t>
    <phoneticPr fontId="2" type="noConversion"/>
  </si>
  <si>
    <t>X2_E04</t>
  </si>
  <si>
    <t>HSD_17</t>
  </si>
  <si>
    <t>ODH_149_2419</t>
  </si>
  <si>
    <t>1ch-1</t>
    <phoneticPr fontId="2" type="noConversion"/>
  </si>
  <si>
    <t>X4_C01</t>
  </si>
  <si>
    <t>HSD_H5_4</t>
  </si>
  <si>
    <t>ODH_42_2315</t>
  </si>
  <si>
    <t>X4_C02</t>
  </si>
  <si>
    <t>HSD_H5_5</t>
  </si>
  <si>
    <t>ODH_43_2314</t>
  </si>
  <si>
    <t>X3_F03</t>
  </si>
  <si>
    <t>HSD_D8_1</t>
  </si>
  <si>
    <t>ODH_94_0827</t>
  </si>
  <si>
    <t>X5_C16</t>
  </si>
  <si>
    <t>HSD_H5_0</t>
  </si>
  <si>
    <t>ODH_03_1425</t>
  </si>
  <si>
    <t>X2_F11</t>
  </si>
  <si>
    <t>HSD_D15_1</t>
  </si>
  <si>
    <t>ODH_129_2329</t>
  </si>
  <si>
    <t>X2_E03</t>
  </si>
  <si>
    <t>HSD_20</t>
  </si>
  <si>
    <t>ODH_153_0723</t>
  </si>
  <si>
    <t>1ch-2</t>
    <phoneticPr fontId="2" type="noConversion"/>
  </si>
  <si>
    <t>X2_F02</t>
  </si>
  <si>
    <t>HSD_D1_1</t>
  </si>
  <si>
    <t>ODH_139_2327</t>
  </si>
  <si>
    <t>LV1-4</t>
    <phoneticPr fontId="2" type="noConversion"/>
  </si>
  <si>
    <t>X3_B01</t>
  </si>
  <si>
    <t>HSD_H3_3</t>
  </si>
  <si>
    <t>ODH_14_0403</t>
  </si>
  <si>
    <t>X4_B12</t>
  </si>
  <si>
    <t>HSD_Q3_3</t>
  </si>
  <si>
    <t>ODH_176_1506</t>
  </si>
  <si>
    <t>X4_C14</t>
  </si>
  <si>
    <t>HSD_H6_3</t>
  </si>
  <si>
    <t>ODH_21_2316</t>
  </si>
  <si>
    <t>X5_B09</t>
  </si>
  <si>
    <t>HSD_Q3_1</t>
  </si>
  <si>
    <t>ODH_64_1433</t>
  </si>
  <si>
    <r>
      <rPr>
        <strike/>
        <sz val="14"/>
        <color rgb="FFFF0000"/>
        <rFont val="Arial"/>
        <family val="2"/>
      </rPr>
      <t>X3_A17</t>
    </r>
    <r>
      <rPr>
        <sz val="14"/>
        <color rgb="FFFF0000"/>
        <rFont val="Arial"/>
        <family val="2"/>
      </rPr>
      <t xml:space="preserve">
X5_C12</t>
    </r>
    <phoneticPr fontId="2" type="noConversion"/>
  </si>
  <si>
    <t>HSD_Q1_1</t>
    <phoneticPr fontId="2" type="noConversion"/>
  </si>
  <si>
    <t>ODH_93_0425</t>
  </si>
  <si>
    <t>X5_C08</t>
  </si>
  <si>
    <t>HSD_H4_3</t>
  </si>
  <si>
    <t>ODH_143_0784</t>
  </si>
  <si>
    <t>X3_B08</t>
  </si>
  <si>
    <t>HSD_H3_4</t>
  </si>
  <si>
    <t>ODH_18_2311</t>
  </si>
  <si>
    <t>X4_C15</t>
  </si>
  <si>
    <t>HSD_H6_2</t>
  </si>
  <si>
    <t>ODH_19_2318</t>
  </si>
  <si>
    <t>X4_C17</t>
  </si>
  <si>
    <t>HSD_H6_0</t>
  </si>
  <si>
    <t>ODH_23_1505</t>
  </si>
  <si>
    <t>X4_F05</t>
  </si>
  <si>
    <t>HSD_D25_1</t>
  </si>
  <si>
    <t>ODH_33_0272</t>
  </si>
  <si>
    <t>eFuse</t>
  </si>
  <si>
    <t>X2_B03</t>
  </si>
  <si>
    <t>EFUSE_5</t>
  </si>
  <si>
    <t>ODHE_09_1180</t>
    <phoneticPr fontId="2" type="noConversion"/>
  </si>
  <si>
    <t>1ch-3</t>
    <phoneticPr fontId="2" type="noConversion"/>
  </si>
  <si>
    <t>LV1-5</t>
    <phoneticPr fontId="2" type="noConversion"/>
  </si>
  <si>
    <r>
      <rPr>
        <strike/>
        <sz val="14"/>
        <color rgb="FFFF0000"/>
        <rFont val="Arial"/>
        <family val="2"/>
      </rPr>
      <t>X2_F04</t>
    </r>
    <r>
      <rPr>
        <sz val="14"/>
        <color rgb="FFFF0000"/>
        <rFont val="Arial"/>
        <family val="2"/>
      </rPr>
      <t xml:space="preserve">
X1_C06</t>
    </r>
    <phoneticPr fontId="2" type="noConversion"/>
  </si>
  <si>
    <t>EFUSE_8</t>
    <phoneticPr fontId="2" type="noConversion"/>
  </si>
  <si>
    <t>ODHE_10_0535</t>
  </si>
  <si>
    <t>X4_C08</t>
  </si>
  <si>
    <t>EFUSE_26</t>
  </si>
  <si>
    <t>ODHE_13_0543</t>
  </si>
  <si>
    <t>X3_F11</t>
  </si>
  <si>
    <t>EFUSE_1</t>
  </si>
  <si>
    <t>ODHE_31_9006</t>
  </si>
  <si>
    <t>X2_C04</t>
  </si>
  <si>
    <t>EFUSE_13</t>
  </si>
  <si>
    <t>ODHE_20_1399</t>
  </si>
  <si>
    <t>1ch-4</t>
    <phoneticPr fontId="2" type="noConversion"/>
  </si>
  <si>
    <t>X2_F10</t>
  </si>
  <si>
    <t>HSD_D15_0</t>
  </si>
  <si>
    <t>ODH_133_2322</t>
  </si>
  <si>
    <t>X4_C06</t>
  </si>
  <si>
    <t>HSD_H4_1</t>
  </si>
  <si>
    <t>ODH_66_1486</t>
  </si>
  <si>
    <t>X4_C10</t>
  </si>
  <si>
    <t>HSD_H5_3</t>
  </si>
  <si>
    <t>ODH_47_4001</t>
  </si>
  <si>
    <t>4T-8Y-1</t>
    <phoneticPr fontId="2" type="noConversion"/>
  </si>
  <si>
    <t>X4_C16</t>
  </si>
  <si>
    <t>HSD_H6_1</t>
  </si>
  <si>
    <t>ODH_144_2338</t>
  </si>
  <si>
    <t>X4_C11</t>
  </si>
  <si>
    <t>HSD_H5_2</t>
  </si>
  <si>
    <t>ODH_49_0818</t>
  </si>
  <si>
    <t>X2_C03</t>
  </si>
  <si>
    <t>EFUSE_16</t>
  </si>
  <si>
    <t>ODHE_21_1500</t>
  </si>
  <si>
    <t>1ch-5</t>
    <phoneticPr fontId="2" type="noConversion"/>
  </si>
  <si>
    <t>X2_F05</t>
    <phoneticPr fontId="2" type="noConversion"/>
  </si>
  <si>
    <t>HSD_D5_0</t>
  </si>
  <si>
    <t>ODH_55_1307</t>
  </si>
  <si>
    <t>4T-8Y-2</t>
    <phoneticPr fontId="2" type="noConversion"/>
  </si>
  <si>
    <t>LV2-1</t>
    <phoneticPr fontId="2" type="noConversion"/>
  </si>
  <si>
    <t>X3_F08</t>
  </si>
  <si>
    <t>HSD_D11_1</t>
  </si>
  <si>
    <t>ODH_66B_9048</t>
  </si>
  <si>
    <t>X2_F12</t>
  </si>
  <si>
    <t>HSD_D4_1</t>
  </si>
  <si>
    <t>ODH_84_1321</t>
  </si>
  <si>
    <t>X5_C11</t>
  </si>
  <si>
    <t>HSD_D22_0</t>
  </si>
  <si>
    <t>ODH_132_0719</t>
  </si>
  <si>
    <t>X2_D01</t>
  </si>
  <si>
    <t>HSD_D14_1</t>
  </si>
  <si>
    <t>ODH_136_2334</t>
  </si>
  <si>
    <t>X3_F01</t>
  </si>
  <si>
    <t>HSD_D16_1</t>
  </si>
  <si>
    <t>ODH_142_2309</t>
  </si>
  <si>
    <t>X5_A07</t>
    <phoneticPr fontId="2" type="noConversion"/>
  </si>
  <si>
    <t>HSD_D23_0</t>
  </si>
  <si>
    <t>ODH_38_0837</t>
  </si>
  <si>
    <t>X4_C03</t>
  </si>
  <si>
    <t>HSD_D23_1</t>
  </si>
  <si>
    <t>ODH_40_9052</t>
  </si>
  <si>
    <t>X2_F09</t>
  </si>
  <si>
    <t>HSD_D2_1</t>
    <phoneticPr fontId="2" type="noConversion"/>
  </si>
  <si>
    <t>ODH_140_1312</t>
  </si>
  <si>
    <t>X2_F08</t>
  </si>
  <si>
    <t>HSD_D9_0</t>
  </si>
  <si>
    <t>ODH_141_1326</t>
  </si>
  <si>
    <t>X2_F07</t>
  </si>
  <si>
    <t>HSD_D9_1</t>
  </si>
  <si>
    <t>ODH_146_1332</t>
  </si>
  <si>
    <t>X2_F01</t>
  </si>
  <si>
    <t>EFUSE_12</t>
  </si>
  <si>
    <t>ODHE_16_2348</t>
  </si>
  <si>
    <t>2T-4Y-1</t>
    <phoneticPr fontId="2" type="noConversion"/>
  </si>
  <si>
    <t>LV2-2</t>
    <phoneticPr fontId="2" type="noConversion"/>
  </si>
  <si>
    <t>X1_F10</t>
  </si>
  <si>
    <t>EFUSE_15</t>
  </si>
  <si>
    <t>ODHE_17_2349</t>
  </si>
  <si>
    <t>X3_A02</t>
  </si>
  <si>
    <t>EFUSE_23</t>
  </si>
  <si>
    <t>ODHE_27_1054</t>
  </si>
  <si>
    <t>X3_F10</t>
  </si>
  <si>
    <t>EFUSE_9</t>
  </si>
  <si>
    <t>ODHE_33_0405</t>
  </si>
  <si>
    <t>X3_C04</t>
  </si>
  <si>
    <t>EFUSE_20</t>
  </si>
  <si>
    <t>ODHE_26_1053</t>
  </si>
  <si>
    <t>2T-4Y-2</t>
    <phoneticPr fontId="2" type="noConversion"/>
  </si>
  <si>
    <t>X2_E01</t>
  </si>
  <si>
    <t>HSD_21</t>
  </si>
  <si>
    <t>ODH_92_1434</t>
  </si>
  <si>
    <t>hBridge</t>
  </si>
  <si>
    <t>X2_D05</t>
  </si>
  <si>
    <t>FBR_01_1</t>
  </si>
  <si>
    <t>OMH01_1_1479</t>
    <phoneticPr fontId="2" type="noConversion"/>
  </si>
  <si>
    <t>X2_D04</t>
  </si>
  <si>
    <t>FBR_01_2</t>
  </si>
  <si>
    <t>OMH01_2_1481</t>
  </si>
  <si>
    <t>X5_C18</t>
  </si>
  <si>
    <t>HSD_H4_5</t>
  </si>
  <si>
    <t>ODH_111_0503</t>
  </si>
  <si>
    <t>4T-8Y-3</t>
    <phoneticPr fontId="2" type="noConversion"/>
  </si>
  <si>
    <t>X4_C07</t>
  </si>
  <si>
    <t>HSD_H4_0</t>
  </si>
  <si>
    <t>ODH_41_0778</t>
  </si>
  <si>
    <t>X2_A02</t>
  </si>
  <si>
    <t>HSD_D13_1</t>
  </si>
  <si>
    <t>ODH_131_2328</t>
  </si>
  <si>
    <t>X2_D07</t>
  </si>
  <si>
    <t>HBR_01_1</t>
  </si>
  <si>
    <t>OMHb05_B_2346</t>
    <phoneticPr fontId="2" type="noConversion"/>
  </si>
  <si>
    <t>2T-4Y-3</t>
    <phoneticPr fontId="2" type="noConversion"/>
  </si>
  <si>
    <t>LV2-3</t>
    <phoneticPr fontId="2" type="noConversion"/>
  </si>
  <si>
    <t>X2_D13</t>
  </si>
  <si>
    <t>HBR_02_2</t>
  </si>
  <si>
    <t>OMHb01_B_0245</t>
    <phoneticPr fontId="2" type="noConversion"/>
  </si>
  <si>
    <t>X2_D10</t>
  </si>
  <si>
    <t>HBR_03_1</t>
  </si>
  <si>
    <t>OMHb02_B_1391</t>
    <phoneticPr fontId="2" type="noConversion"/>
  </si>
  <si>
    <t>X2_D14</t>
  </si>
  <si>
    <t>HBR_02_1</t>
  </si>
  <si>
    <t>OMHb03_B_0412</t>
    <phoneticPr fontId="2" type="noConversion"/>
  </si>
  <si>
    <r>
      <t xml:space="preserve">EVO </t>
    </r>
    <r>
      <rPr>
        <sz val="14"/>
        <color rgb="FF000000"/>
        <rFont val="細明體"/>
        <family val="3"/>
        <charset val="136"/>
      </rPr>
      <t>不測</t>
    </r>
    <r>
      <rPr>
        <sz val="14"/>
        <color rgb="FF000000"/>
        <rFont val="Arial"/>
        <family val="2"/>
      </rPr>
      <t xml:space="preserve">, Load box </t>
    </r>
    <r>
      <rPr>
        <sz val="14"/>
        <color rgb="FF000000"/>
        <rFont val="細明體"/>
        <family val="3"/>
        <charset val="136"/>
      </rPr>
      <t>訊號不用接</t>
    </r>
    <phoneticPr fontId="2" type="noConversion"/>
  </si>
  <si>
    <t>X1_A13</t>
  </si>
  <si>
    <t>X2_A03</t>
  </si>
  <si>
    <t>X4_C18</t>
  </si>
  <si>
    <t>X2_C01</t>
  </si>
  <si>
    <t>EFUSE_4</t>
  </si>
  <si>
    <t>ODHE_30_9012</t>
    <phoneticPr fontId="2" type="noConversion"/>
  </si>
  <si>
    <t>1ch-6</t>
    <phoneticPr fontId="2" type="noConversion"/>
  </si>
  <si>
    <t>X3_A04</t>
  </si>
  <si>
    <t>HSD_D10_0</t>
    <phoneticPr fontId="2" type="noConversion"/>
  </si>
  <si>
    <t>ODH_152_1251</t>
    <phoneticPr fontId="2" type="noConversion"/>
  </si>
  <si>
    <t>X2_F18</t>
  </si>
  <si>
    <t>HSD_D2_0</t>
    <phoneticPr fontId="2" type="noConversion"/>
  </si>
  <si>
    <t>ODH_120_0056</t>
  </si>
  <si>
    <t>X3_F04</t>
  </si>
  <si>
    <t>2T-4Y-5</t>
    <phoneticPr fontId="2" type="noConversion"/>
  </si>
  <si>
    <t>X2_A11</t>
  </si>
  <si>
    <t>HSD_19</t>
  </si>
  <si>
    <t>ODH_50_1318</t>
  </si>
  <si>
    <t>2T-4Y-4</t>
    <phoneticPr fontId="2" type="noConversion"/>
  </si>
  <si>
    <t>LV2-4</t>
    <phoneticPr fontId="2" type="noConversion"/>
  </si>
  <si>
    <r>
      <rPr>
        <strike/>
        <sz val="14"/>
        <color rgb="FFFF0000"/>
        <rFont val="Arial"/>
        <family val="2"/>
      </rPr>
      <t>X3_D04</t>
    </r>
    <r>
      <rPr>
        <sz val="14"/>
        <color rgb="FFFF0000"/>
        <rFont val="Arial"/>
        <family val="2"/>
      </rPr>
      <t xml:space="preserve">
X1_C10</t>
    </r>
    <phoneticPr fontId="2" type="noConversion"/>
  </si>
  <si>
    <t>EFUSE_3</t>
    <phoneticPr fontId="2" type="noConversion"/>
  </si>
  <si>
    <t>ODHE_14_0018</t>
    <phoneticPr fontId="2" type="noConversion"/>
  </si>
  <si>
    <t>X3_D03</t>
    <phoneticPr fontId="2" type="noConversion"/>
  </si>
  <si>
    <t>EFUSE_17</t>
  </si>
  <si>
    <t>ODHE_25_1052</t>
  </si>
  <si>
    <t>X3_D03</t>
  </si>
  <si>
    <t>X1_B01</t>
  </si>
  <si>
    <t>X3_C03</t>
  </si>
  <si>
    <t>EFUSE_14</t>
  </si>
  <si>
    <t>ODHE_24_1177</t>
  </si>
  <si>
    <t>X2_D12</t>
  </si>
  <si>
    <t>1ch-7</t>
    <phoneticPr fontId="2" type="noConversion"/>
  </si>
  <si>
    <t>X3_C01</t>
  </si>
  <si>
    <t>1ch-8</t>
    <phoneticPr fontId="2" type="noConversion"/>
  </si>
  <si>
    <t>X2_B01</t>
    <phoneticPr fontId="2" type="noConversion"/>
  </si>
  <si>
    <t>EFUSE_10</t>
  </si>
  <si>
    <t>ODHE_29_9013</t>
    <phoneticPr fontId="2" type="noConversion"/>
  </si>
  <si>
    <t>X2_B01</t>
  </si>
  <si>
    <t>1ch-9</t>
    <phoneticPr fontId="2" type="noConversion"/>
  </si>
  <si>
    <t>X2_D06</t>
    <phoneticPr fontId="2" type="noConversion"/>
  </si>
  <si>
    <t>HBR_01_2</t>
    <phoneticPr fontId="2" type="noConversion"/>
  </si>
  <si>
    <t>OMHb06_B_2392</t>
    <phoneticPr fontId="2" type="noConversion"/>
  </si>
  <si>
    <t>GND</t>
    <phoneticPr fontId="2" type="noConversion"/>
  </si>
  <si>
    <t xml:space="preserve">
X1_C06</t>
    <phoneticPr fontId="2" type="noConversion"/>
  </si>
  <si>
    <t xml:space="preserve">
X5_C12</t>
    <phoneticPr fontId="2" type="noConversion"/>
  </si>
  <si>
    <t xml:space="preserve">
X1_C10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</si>
</sst>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14"/>
      <color rgb="FF000000"/>
      <name val="Arial"/>
      <family val="2"/>
    </font>
    <font>
      <sz val="9"/>
      <name val="新細明體"/>
      <family val="2"/>
      <charset val="136"/>
      <scheme val="minor"/>
    </font>
    <font>
      <sz val="14"/>
      <color rgb="FF000000"/>
      <name val="細明體"/>
      <family val="3"/>
      <charset val="136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000000"/>
      <name val="新細明體"/>
      <family val="2"/>
      <charset val="136"/>
    </font>
    <font>
      <sz val="11"/>
      <color theme="1"/>
      <name val="新細明體"/>
      <family val="2"/>
      <scheme val="minor"/>
    </font>
    <font>
      <strike/>
      <sz val="14"/>
      <color rgb="FFFF0000"/>
      <name val="Arial"/>
      <family val="2"/>
    </font>
    <font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readingOrder="1"/>
    </xf>
    <xf numFmtId="0" fontId="4" fillId="6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" fillId="8" borderId="1" xfId="0" applyFont="1" applyFill="1" applyBorder="1" applyAlignment="1">
      <alignment horizontal="center" vertical="center" wrapText="1" readingOrder="1"/>
    </xf>
    <xf numFmtId="0" fontId="1" fillId="9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horizontal="center" vertical="center" wrapText="1" readingOrder="1"/>
    </xf>
    <xf numFmtId="0" fontId="9" fillId="10" borderId="1" xfId="0" applyFont="1" applyFill="1" applyBorder="1" applyAlignment="1">
      <alignment horizontal="center" vertical="center" wrapText="1" readingOrder="1"/>
    </xf>
    <xf numFmtId="0" fontId="0" fillId="10" borderId="0" xfId="0" applyFill="1"/>
    <xf numFmtId="0" fontId="5" fillId="10" borderId="1" xfId="1" applyFont="1" applyFill="1" applyBorder="1" applyAlignment="1">
      <alignment vertical="center"/>
    </xf>
    <xf numFmtId="0" fontId="1" fillId="10" borderId="1" xfId="0" applyFont="1" applyFill="1" applyBorder="1" applyAlignment="1">
      <alignment horizontal="left" vertical="center" wrapText="1" readingOrder="1"/>
    </xf>
    <xf numFmtId="0" fontId="0" fillId="10" borderId="0" xfId="0" applyFill="1" applyAlignment="1">
      <alignment vertical="center"/>
    </xf>
    <xf numFmtId="0" fontId="1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 readingOrder="1"/>
    </xf>
  </cellXfs>
  <cellStyles count="2">
    <cellStyle name="一般" xfId="0" builtinId="0"/>
    <cellStyle name="一般 2" xfId="1" xr:uid="{6BE1EC45-CA1C-416C-BD42-A630C1F566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279400</xdr:colOff>
      <xdr:row>2</xdr:row>
      <xdr:rowOff>139700</xdr:rowOff>
    </xdr:from>
    <xdr:to>
      <xdr:col>25</xdr:col>
      <xdr:colOff>431800</xdr:colOff>
      <xdr:row>4</xdr:row>
      <xdr:rowOff>125538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E2E72CC-9729-45C0-ACEC-E68C81183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86150" y="571500"/>
          <a:ext cx="6248400" cy="455738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133351</xdr:colOff>
      <xdr:row>5</xdr:row>
      <xdr:rowOff>21167</xdr:rowOff>
    </xdr:from>
    <xdr:to>
      <xdr:col>26</xdr:col>
      <xdr:colOff>349251</xdr:colOff>
      <xdr:row>10</xdr:row>
      <xdr:rowOff>162811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3B66464-DFE9-4C40-BF8D-81E10E14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0101" y="1145117"/>
          <a:ext cx="6921500" cy="1252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1C9B-3DE3-42B0-8EF2-56AEE3F5CECB}">
  <sheetPr>
    <pageSetUpPr fitToPage="1"/>
  </sheetPr>
  <dimension ref="B3:O100"/>
  <sheetViews>
    <sheetView tabSelected="1" zoomScale="125" zoomScaleNormal="60" workbookViewId="0">
      <selection activeCell="J86" sqref="J86"/>
    </sheetView>
  </sheetViews>
  <sheetFormatPr baseColWidth="10" defaultColWidth="8.83203125" defaultRowHeight="15"/>
  <cols>
    <col min="2" max="2" width="6" style="17" bestFit="1" customWidth="1"/>
    <col min="3" max="3" width="21.83203125" bestFit="1" customWidth="1"/>
    <col min="4" max="4" width="15.5" style="21" customWidth="1"/>
    <col min="5" max="5" width="20.6640625" style="24" bestFit="1" customWidth="1"/>
    <col min="6" max="6" width="24.5" bestFit="1" customWidth="1"/>
    <col min="7" max="7" width="11.5" style="17" bestFit="1" customWidth="1"/>
    <col min="8" max="8" width="18.5" bestFit="1" customWidth="1"/>
    <col min="9" max="9" width="18.6640625" style="17" bestFit="1" customWidth="1"/>
    <col min="10" max="11" width="12.6640625" bestFit="1" customWidth="1"/>
    <col min="12" max="12" width="15.1640625" bestFit="1" customWidth="1"/>
    <col min="13" max="13" width="6.5" bestFit="1" customWidth="1"/>
    <col min="14" max="14" width="22.33203125" style="21" bestFit="1" customWidth="1"/>
    <col min="15" max="15" width="12.6640625" bestFit="1" customWidth="1"/>
  </cols>
  <sheetData>
    <row r="3" spans="2:15" ht="21">
      <c r="B3" s="1" t="s">
        <v>0</v>
      </c>
      <c r="C3" s="1" t="s">
        <v>1</v>
      </c>
      <c r="D3" s="18" t="s">
        <v>2</v>
      </c>
      <c r="E3" s="18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" t="s">
        <v>8</v>
      </c>
      <c r="K3" s="3" t="s">
        <v>9</v>
      </c>
      <c r="L3" s="4" t="s">
        <v>10</v>
      </c>
      <c r="M3" s="3" t="s">
        <v>11</v>
      </c>
      <c r="N3" s="25" t="s">
        <v>12</v>
      </c>
      <c r="O3" s="1" t="s">
        <v>13</v>
      </c>
    </row>
    <row r="4" spans="2:15" ht="19">
      <c r="B4" s="3">
        <v>1</v>
      </c>
      <c r="C4" s="1" t="s">
        <v>14</v>
      </c>
      <c r="D4" s="18" t="s">
        <v>15</v>
      </c>
      <c r="E4" s="22" t="s">
        <v>16</v>
      </c>
      <c r="F4" s="5" t="s">
        <v>17</v>
      </c>
      <c r="G4" s="1">
        <v>13.5</v>
      </c>
      <c r="H4" s="1">
        <v>84</v>
      </c>
      <c r="I4" s="1">
        <f t="shared" ref="I4:I67" si="0">G4/H4</f>
        <v>0.16071428571428573</v>
      </c>
      <c r="J4" s="6" t="s">
        <v>18</v>
      </c>
      <c r="K4" s="1" t="s">
        <v>15</v>
      </c>
      <c r="L4" s="7"/>
      <c r="M4" s="7">
        <v>7</v>
      </c>
      <c r="N4" s="26" t="s">
        <v>19</v>
      </c>
      <c r="O4" s="27" t="s">
        <v>20</v>
      </c>
    </row>
    <row r="5" spans="2:15" ht="19">
      <c r="B5" s="3">
        <v>2</v>
      </c>
      <c r="C5" s="1" t="s">
        <v>14</v>
      </c>
      <c r="D5" s="18" t="s">
        <v>21</v>
      </c>
      <c r="E5" s="22" t="s">
        <v>22</v>
      </c>
      <c r="F5" s="5" t="s">
        <v>23</v>
      </c>
      <c r="G5" s="1">
        <v>13.5</v>
      </c>
      <c r="H5" s="1">
        <v>84</v>
      </c>
      <c r="I5" s="1">
        <f t="shared" si="0"/>
        <v>0.16071428571428573</v>
      </c>
      <c r="J5" s="6" t="s">
        <v>18</v>
      </c>
      <c r="K5" s="1" t="s">
        <v>21</v>
      </c>
      <c r="L5" s="7"/>
      <c r="M5" s="7">
        <v>7</v>
      </c>
      <c r="N5" s="26" t="s">
        <v>24</v>
      </c>
      <c r="O5" s="27"/>
    </row>
    <row r="6" spans="2:15" ht="19">
      <c r="B6" s="3">
        <v>3</v>
      </c>
      <c r="C6" s="1" t="s">
        <v>25</v>
      </c>
      <c r="D6" s="18" t="s">
        <v>26</v>
      </c>
      <c r="E6" s="22" t="s">
        <v>27</v>
      </c>
      <c r="F6" s="5" t="s">
        <v>28</v>
      </c>
      <c r="G6" s="1">
        <v>13.5</v>
      </c>
      <c r="H6" s="1">
        <v>84</v>
      </c>
      <c r="I6" s="8">
        <f t="shared" si="0"/>
        <v>0.16071428571428573</v>
      </c>
      <c r="J6" s="1" t="s">
        <v>26</v>
      </c>
      <c r="K6" s="3" t="s">
        <v>29</v>
      </c>
      <c r="L6" s="7" t="s">
        <v>30</v>
      </c>
      <c r="M6" s="7">
        <v>1</v>
      </c>
      <c r="N6" s="26" t="s">
        <v>31</v>
      </c>
      <c r="O6" s="27"/>
    </row>
    <row r="7" spans="2:15" ht="19">
      <c r="B7" s="3">
        <v>4</v>
      </c>
      <c r="C7" s="1" t="s">
        <v>25</v>
      </c>
      <c r="D7" s="18" t="s">
        <v>32</v>
      </c>
      <c r="E7" s="22" t="s">
        <v>33</v>
      </c>
      <c r="F7" s="5" t="s">
        <v>34</v>
      </c>
      <c r="G7" s="1">
        <v>13.5</v>
      </c>
      <c r="H7" s="1">
        <v>84</v>
      </c>
      <c r="I7" s="8">
        <f t="shared" si="0"/>
        <v>0.16071428571428573</v>
      </c>
      <c r="J7" s="1" t="s">
        <v>32</v>
      </c>
      <c r="K7" s="3" t="s">
        <v>29</v>
      </c>
      <c r="L7" s="7" t="s">
        <v>30</v>
      </c>
      <c r="M7" s="7">
        <v>1</v>
      </c>
      <c r="N7" s="26" t="s">
        <v>35</v>
      </c>
      <c r="O7" s="27"/>
    </row>
    <row r="8" spans="2:15" ht="19">
      <c r="B8" s="3">
        <v>5</v>
      </c>
      <c r="C8" s="1" t="s">
        <v>25</v>
      </c>
      <c r="D8" s="18" t="s">
        <v>36</v>
      </c>
      <c r="E8" s="22" t="s">
        <v>37</v>
      </c>
      <c r="F8" s="5" t="s">
        <v>38</v>
      </c>
      <c r="G8" s="1">
        <v>13.5</v>
      </c>
      <c r="H8" s="1">
        <v>84</v>
      </c>
      <c r="I8" s="8">
        <f t="shared" si="0"/>
        <v>0.16071428571428573</v>
      </c>
      <c r="J8" s="1" t="s">
        <v>36</v>
      </c>
      <c r="K8" s="3" t="s">
        <v>29</v>
      </c>
      <c r="L8" s="7" t="s">
        <v>30</v>
      </c>
      <c r="M8" s="7">
        <v>1</v>
      </c>
      <c r="N8" s="26" t="s">
        <v>39</v>
      </c>
      <c r="O8" s="27"/>
    </row>
    <row r="9" spans="2:15" ht="19">
      <c r="B9" s="3">
        <v>6</v>
      </c>
      <c r="C9" s="1" t="s">
        <v>25</v>
      </c>
      <c r="D9" s="18" t="s">
        <v>40</v>
      </c>
      <c r="E9" s="22" t="s">
        <v>41</v>
      </c>
      <c r="F9" s="5" t="s">
        <v>42</v>
      </c>
      <c r="G9" s="1">
        <v>13.5</v>
      </c>
      <c r="H9" s="1">
        <v>84</v>
      </c>
      <c r="I9" s="8">
        <f t="shared" si="0"/>
        <v>0.16071428571428573</v>
      </c>
      <c r="J9" s="1" t="s">
        <v>40</v>
      </c>
      <c r="K9" s="3" t="s">
        <v>29</v>
      </c>
      <c r="L9" s="7" t="s">
        <v>30</v>
      </c>
      <c r="M9" s="7">
        <v>1</v>
      </c>
      <c r="N9" s="26" t="s">
        <v>19</v>
      </c>
      <c r="O9" s="27"/>
    </row>
    <row r="10" spans="2:15" ht="19">
      <c r="B10" s="3">
        <v>7</v>
      </c>
      <c r="C10" s="1" t="s">
        <v>25</v>
      </c>
      <c r="D10" s="18" t="s">
        <v>43</v>
      </c>
      <c r="E10" s="22" t="s">
        <v>44</v>
      </c>
      <c r="F10" s="5" t="s">
        <v>45</v>
      </c>
      <c r="G10" s="1">
        <v>13.5</v>
      </c>
      <c r="H10" s="1">
        <v>84</v>
      </c>
      <c r="I10" s="8">
        <f t="shared" si="0"/>
        <v>0.16071428571428573</v>
      </c>
      <c r="J10" s="1" t="s">
        <v>43</v>
      </c>
      <c r="K10" s="3" t="s">
        <v>29</v>
      </c>
      <c r="L10" s="7" t="s">
        <v>30</v>
      </c>
      <c r="M10" s="7">
        <v>1</v>
      </c>
      <c r="N10" s="26" t="s">
        <v>39</v>
      </c>
      <c r="O10" s="27"/>
    </row>
    <row r="11" spans="2:15" ht="19">
      <c r="B11" s="3">
        <v>8</v>
      </c>
      <c r="C11" s="1" t="s">
        <v>25</v>
      </c>
      <c r="D11" s="18" t="s">
        <v>46</v>
      </c>
      <c r="E11" s="22" t="s">
        <v>47</v>
      </c>
      <c r="F11" s="5" t="s">
        <v>48</v>
      </c>
      <c r="G11" s="1">
        <v>13.5</v>
      </c>
      <c r="H11" s="1">
        <v>84</v>
      </c>
      <c r="I11" s="8">
        <f t="shared" si="0"/>
        <v>0.16071428571428573</v>
      </c>
      <c r="J11" s="1" t="s">
        <v>46</v>
      </c>
      <c r="K11" s="3" t="s">
        <v>29</v>
      </c>
      <c r="L11" s="7" t="s">
        <v>30</v>
      </c>
      <c r="M11" s="7">
        <v>1</v>
      </c>
      <c r="N11" s="26" t="s">
        <v>24</v>
      </c>
      <c r="O11" s="27"/>
    </row>
    <row r="12" spans="2:15" ht="19">
      <c r="B12" s="3">
        <v>9</v>
      </c>
      <c r="C12" s="1" t="s">
        <v>25</v>
      </c>
      <c r="D12" s="18" t="s">
        <v>49</v>
      </c>
      <c r="E12" s="22" t="s">
        <v>50</v>
      </c>
      <c r="F12" s="5" t="s">
        <v>51</v>
      </c>
      <c r="G12" s="1">
        <v>13.5</v>
      </c>
      <c r="H12" s="1">
        <v>84</v>
      </c>
      <c r="I12" s="8">
        <f t="shared" si="0"/>
        <v>0.16071428571428573</v>
      </c>
      <c r="J12" s="1" t="s">
        <v>49</v>
      </c>
      <c r="K12" s="3" t="s">
        <v>29</v>
      </c>
      <c r="L12" s="7" t="s">
        <v>30</v>
      </c>
      <c r="M12" s="7">
        <v>1</v>
      </c>
      <c r="N12" s="26" t="s">
        <v>52</v>
      </c>
      <c r="O12" s="27"/>
    </row>
    <row r="13" spans="2:15" ht="19">
      <c r="B13" s="3">
        <v>10</v>
      </c>
      <c r="C13" s="1" t="s">
        <v>25</v>
      </c>
      <c r="D13" s="18" t="s">
        <v>53</v>
      </c>
      <c r="E13" s="22" t="s">
        <v>54</v>
      </c>
      <c r="F13" s="5" t="s">
        <v>55</v>
      </c>
      <c r="G13" s="1">
        <v>13.5</v>
      </c>
      <c r="H13" s="1">
        <v>84</v>
      </c>
      <c r="I13" s="8">
        <f t="shared" si="0"/>
        <v>0.16071428571428573</v>
      </c>
      <c r="J13" s="1" t="s">
        <v>53</v>
      </c>
      <c r="K13" s="3" t="s">
        <v>29</v>
      </c>
      <c r="L13" s="7" t="s">
        <v>30</v>
      </c>
      <c r="M13" s="7">
        <v>1</v>
      </c>
      <c r="N13" s="26" t="s">
        <v>19</v>
      </c>
      <c r="O13" s="27"/>
    </row>
    <row r="14" spans="2:15" ht="19">
      <c r="B14" s="3">
        <v>11</v>
      </c>
      <c r="C14" s="1" t="s">
        <v>25</v>
      </c>
      <c r="D14" s="18" t="s">
        <v>56</v>
      </c>
      <c r="E14" s="22" t="s">
        <v>57</v>
      </c>
      <c r="F14" s="5" t="s">
        <v>58</v>
      </c>
      <c r="G14" s="1">
        <v>13.5</v>
      </c>
      <c r="H14" s="1">
        <v>84</v>
      </c>
      <c r="I14" s="8">
        <f t="shared" si="0"/>
        <v>0.16071428571428573</v>
      </c>
      <c r="J14" s="1" t="s">
        <v>56</v>
      </c>
      <c r="K14" s="3" t="s">
        <v>29</v>
      </c>
      <c r="L14" s="7" t="s">
        <v>30</v>
      </c>
      <c r="M14" s="7">
        <v>1</v>
      </c>
      <c r="N14" s="26" t="s">
        <v>31</v>
      </c>
      <c r="O14" s="27"/>
    </row>
    <row r="15" spans="2:15" ht="19">
      <c r="B15" s="3">
        <v>12</v>
      </c>
      <c r="C15" s="1" t="s">
        <v>25</v>
      </c>
      <c r="D15" s="18" t="s">
        <v>59</v>
      </c>
      <c r="E15" s="22" t="s">
        <v>60</v>
      </c>
      <c r="F15" s="5" t="s">
        <v>61</v>
      </c>
      <c r="G15" s="1">
        <v>13.5</v>
      </c>
      <c r="H15" s="1">
        <v>84</v>
      </c>
      <c r="I15" s="8">
        <f t="shared" si="0"/>
        <v>0.16071428571428573</v>
      </c>
      <c r="J15" s="1" t="s">
        <v>59</v>
      </c>
      <c r="K15" s="3" t="s">
        <v>29</v>
      </c>
      <c r="L15" s="7" t="s">
        <v>30</v>
      </c>
      <c r="M15" s="7">
        <v>1</v>
      </c>
      <c r="N15" s="26" t="s">
        <v>24</v>
      </c>
      <c r="O15" s="27" t="s">
        <v>62</v>
      </c>
    </row>
    <row r="16" spans="2:15" ht="19">
      <c r="B16" s="3">
        <v>13</v>
      </c>
      <c r="C16" s="1" t="s">
        <v>25</v>
      </c>
      <c r="D16" s="18" t="s">
        <v>63</v>
      </c>
      <c r="E16" s="22" t="s">
        <v>64</v>
      </c>
      <c r="F16" s="5" t="s">
        <v>65</v>
      </c>
      <c r="G16" s="1">
        <v>13.5</v>
      </c>
      <c r="H16" s="1">
        <v>84</v>
      </c>
      <c r="I16" s="8">
        <f t="shared" si="0"/>
        <v>0.16071428571428573</v>
      </c>
      <c r="J16" s="1" t="s">
        <v>63</v>
      </c>
      <c r="K16" s="3" t="s">
        <v>29</v>
      </c>
      <c r="L16" s="7" t="s">
        <v>30</v>
      </c>
      <c r="M16" s="7">
        <v>1</v>
      </c>
      <c r="N16" s="26" t="s">
        <v>19</v>
      </c>
      <c r="O16" s="27"/>
    </row>
    <row r="17" spans="2:15" ht="19">
      <c r="B17" s="3">
        <v>14</v>
      </c>
      <c r="C17" s="1" t="s">
        <v>25</v>
      </c>
      <c r="D17" s="18" t="s">
        <v>66</v>
      </c>
      <c r="E17" s="22" t="s">
        <v>67</v>
      </c>
      <c r="F17" s="5" t="s">
        <v>68</v>
      </c>
      <c r="G17" s="1">
        <v>13.5</v>
      </c>
      <c r="H17" s="1">
        <v>84</v>
      </c>
      <c r="I17" s="8">
        <f t="shared" si="0"/>
        <v>0.16071428571428573</v>
      </c>
      <c r="J17" s="1" t="s">
        <v>66</v>
      </c>
      <c r="K17" s="3" t="s">
        <v>29</v>
      </c>
      <c r="L17" s="7" t="s">
        <v>30</v>
      </c>
      <c r="M17" s="7">
        <v>1</v>
      </c>
      <c r="N17" s="26" t="s">
        <v>39</v>
      </c>
      <c r="O17" s="27"/>
    </row>
    <row r="18" spans="2:15" ht="19">
      <c r="B18" s="3">
        <v>15</v>
      </c>
      <c r="C18" s="1" t="s">
        <v>25</v>
      </c>
      <c r="D18" s="18" t="s">
        <v>69</v>
      </c>
      <c r="E18" s="22" t="s">
        <v>70</v>
      </c>
      <c r="F18" s="5" t="s">
        <v>71</v>
      </c>
      <c r="G18" s="1">
        <v>13.5</v>
      </c>
      <c r="H18" s="1">
        <v>84</v>
      </c>
      <c r="I18" s="8">
        <f t="shared" si="0"/>
        <v>0.16071428571428573</v>
      </c>
      <c r="J18" s="1" t="s">
        <v>69</v>
      </c>
      <c r="K18" s="3" t="s">
        <v>29</v>
      </c>
      <c r="L18" s="7" t="s">
        <v>30</v>
      </c>
      <c r="M18" s="7">
        <v>1</v>
      </c>
      <c r="N18" s="26" t="s">
        <v>35</v>
      </c>
      <c r="O18" s="27"/>
    </row>
    <row r="19" spans="2:15" ht="19">
      <c r="B19" s="3">
        <v>16</v>
      </c>
      <c r="C19" s="1" t="s">
        <v>25</v>
      </c>
      <c r="D19" s="18" t="s">
        <v>72</v>
      </c>
      <c r="E19" s="22" t="s">
        <v>73</v>
      </c>
      <c r="F19" s="5" t="s">
        <v>74</v>
      </c>
      <c r="G19" s="1">
        <v>13.5</v>
      </c>
      <c r="H19" s="1">
        <v>84</v>
      </c>
      <c r="I19" s="8">
        <f t="shared" si="0"/>
        <v>0.16071428571428573</v>
      </c>
      <c r="J19" s="1" t="s">
        <v>72</v>
      </c>
      <c r="K19" s="3" t="s">
        <v>29</v>
      </c>
      <c r="L19" s="7" t="s">
        <v>30</v>
      </c>
      <c r="M19" s="7">
        <v>1</v>
      </c>
      <c r="N19" s="26" t="s">
        <v>35</v>
      </c>
      <c r="O19" s="27"/>
    </row>
    <row r="20" spans="2:15" ht="19">
      <c r="B20" s="3">
        <v>17</v>
      </c>
      <c r="C20" s="1" t="s">
        <v>25</v>
      </c>
      <c r="D20" s="18" t="s">
        <v>75</v>
      </c>
      <c r="E20" s="22" t="s">
        <v>76</v>
      </c>
      <c r="F20" s="5" t="s">
        <v>77</v>
      </c>
      <c r="G20" s="1">
        <v>13.5</v>
      </c>
      <c r="H20" s="1">
        <v>84</v>
      </c>
      <c r="I20" s="8">
        <f t="shared" si="0"/>
        <v>0.16071428571428573</v>
      </c>
      <c r="J20" s="1" t="s">
        <v>75</v>
      </c>
      <c r="K20" s="3" t="s">
        <v>29</v>
      </c>
      <c r="L20" s="7" t="s">
        <v>30</v>
      </c>
      <c r="M20" s="7">
        <v>1</v>
      </c>
      <c r="N20" s="26" t="s">
        <v>39</v>
      </c>
      <c r="O20" s="27"/>
    </row>
    <row r="21" spans="2:15" ht="19">
      <c r="B21" s="3">
        <v>18</v>
      </c>
      <c r="C21" s="1" t="s">
        <v>25</v>
      </c>
      <c r="D21" s="18" t="s">
        <v>78</v>
      </c>
      <c r="E21" s="22" t="s">
        <v>79</v>
      </c>
      <c r="F21" s="5" t="s">
        <v>80</v>
      </c>
      <c r="G21" s="1">
        <v>13.5</v>
      </c>
      <c r="H21" s="1">
        <v>84</v>
      </c>
      <c r="I21" s="8">
        <f t="shared" si="0"/>
        <v>0.16071428571428573</v>
      </c>
      <c r="J21" s="1" t="s">
        <v>78</v>
      </c>
      <c r="K21" s="3" t="s">
        <v>29</v>
      </c>
      <c r="L21" s="7" t="s">
        <v>30</v>
      </c>
      <c r="M21" s="7">
        <v>1</v>
      </c>
      <c r="N21" s="26" t="s">
        <v>24</v>
      </c>
      <c r="O21" s="27"/>
    </row>
    <row r="22" spans="2:15" ht="19">
      <c r="B22" s="3">
        <v>19</v>
      </c>
      <c r="C22" s="1" t="s">
        <v>25</v>
      </c>
      <c r="D22" s="18" t="s">
        <v>81</v>
      </c>
      <c r="E22" s="22" t="s">
        <v>82</v>
      </c>
      <c r="F22" s="5" t="s">
        <v>83</v>
      </c>
      <c r="G22" s="1">
        <v>13.5</v>
      </c>
      <c r="H22" s="1">
        <v>84</v>
      </c>
      <c r="I22" s="8">
        <f t="shared" si="0"/>
        <v>0.16071428571428573</v>
      </c>
      <c r="J22" s="1" t="s">
        <v>81</v>
      </c>
      <c r="K22" s="3" t="s">
        <v>29</v>
      </c>
      <c r="L22" s="7" t="s">
        <v>30</v>
      </c>
      <c r="M22" s="7">
        <v>1</v>
      </c>
      <c r="N22" s="26" t="s">
        <v>19</v>
      </c>
      <c r="O22" s="27"/>
    </row>
    <row r="23" spans="2:15" ht="19">
      <c r="B23" s="9">
        <v>20</v>
      </c>
      <c r="C23" s="1" t="s">
        <v>14</v>
      </c>
      <c r="D23" s="18" t="s">
        <v>84</v>
      </c>
      <c r="E23" s="22" t="s">
        <v>85</v>
      </c>
      <c r="F23" s="5" t="s">
        <v>86</v>
      </c>
      <c r="G23" s="1">
        <v>13.5</v>
      </c>
      <c r="H23" s="1">
        <v>50</v>
      </c>
      <c r="I23" s="1">
        <f t="shared" si="0"/>
        <v>0.27</v>
      </c>
      <c r="J23" s="6" t="s">
        <v>18</v>
      </c>
      <c r="K23" s="1" t="s">
        <v>84</v>
      </c>
      <c r="L23" s="7"/>
      <c r="M23" s="7">
        <v>7</v>
      </c>
      <c r="N23" s="26" t="s">
        <v>35</v>
      </c>
      <c r="O23" s="27"/>
    </row>
    <row r="24" spans="2:15" ht="19">
      <c r="B24" s="9">
        <v>21</v>
      </c>
      <c r="C24" s="1" t="s">
        <v>25</v>
      </c>
      <c r="D24" s="18" t="s">
        <v>87</v>
      </c>
      <c r="E24" s="22" t="s">
        <v>88</v>
      </c>
      <c r="F24" s="5" t="s">
        <v>89</v>
      </c>
      <c r="G24" s="1">
        <v>13.5</v>
      </c>
      <c r="H24" s="1">
        <v>50</v>
      </c>
      <c r="I24" s="8">
        <f t="shared" si="0"/>
        <v>0.27</v>
      </c>
      <c r="J24" s="1" t="s">
        <v>87</v>
      </c>
      <c r="K24" s="3" t="s">
        <v>29</v>
      </c>
      <c r="L24" s="7" t="s">
        <v>30</v>
      </c>
      <c r="M24" s="7">
        <v>1</v>
      </c>
      <c r="N24" s="26" t="s">
        <v>24</v>
      </c>
      <c r="O24" s="27"/>
    </row>
    <row r="25" spans="2:15" ht="19">
      <c r="B25" s="3">
        <v>22</v>
      </c>
      <c r="C25" s="1" t="s">
        <v>25</v>
      </c>
      <c r="D25" s="18" t="s">
        <v>90</v>
      </c>
      <c r="E25" s="22" t="s">
        <v>91</v>
      </c>
      <c r="F25" s="5" t="s">
        <v>92</v>
      </c>
      <c r="G25" s="1">
        <v>13.5</v>
      </c>
      <c r="H25" s="1">
        <v>30</v>
      </c>
      <c r="I25" s="8">
        <f t="shared" si="0"/>
        <v>0.45</v>
      </c>
      <c r="J25" s="1" t="s">
        <v>90</v>
      </c>
      <c r="K25" s="3" t="s">
        <v>29</v>
      </c>
      <c r="L25" s="7" t="s">
        <v>30</v>
      </c>
      <c r="M25" s="7">
        <v>1</v>
      </c>
      <c r="N25" s="26" t="s">
        <v>31</v>
      </c>
      <c r="O25" s="27"/>
    </row>
    <row r="26" spans="2:15" ht="19">
      <c r="B26" s="3">
        <v>23</v>
      </c>
      <c r="C26" s="1" t="s">
        <v>25</v>
      </c>
      <c r="D26" s="18" t="s">
        <v>93</v>
      </c>
      <c r="E26" s="22" t="s">
        <v>94</v>
      </c>
      <c r="F26" s="5" t="s">
        <v>95</v>
      </c>
      <c r="G26" s="1">
        <v>13.5</v>
      </c>
      <c r="H26" s="1">
        <v>1.35</v>
      </c>
      <c r="I26" s="8">
        <f t="shared" si="0"/>
        <v>10</v>
      </c>
      <c r="J26" s="1" t="s">
        <v>93</v>
      </c>
      <c r="K26" s="3" t="s">
        <v>29</v>
      </c>
      <c r="L26" s="7" t="s">
        <v>30</v>
      </c>
      <c r="M26" s="7">
        <v>1</v>
      </c>
      <c r="N26" s="26" t="s">
        <v>19</v>
      </c>
      <c r="O26" s="27" t="s">
        <v>96</v>
      </c>
    </row>
    <row r="27" spans="2:15" ht="19">
      <c r="B27" s="3">
        <v>24</v>
      </c>
      <c r="C27" s="1" t="s">
        <v>25</v>
      </c>
      <c r="D27" s="18" t="s">
        <v>97</v>
      </c>
      <c r="E27" s="22" t="s">
        <v>98</v>
      </c>
      <c r="F27" s="5" t="s">
        <v>99</v>
      </c>
      <c r="G27" s="1">
        <v>13.5</v>
      </c>
      <c r="H27" s="1">
        <v>30</v>
      </c>
      <c r="I27" s="8">
        <f t="shared" si="0"/>
        <v>0.45</v>
      </c>
      <c r="J27" s="1" t="s">
        <v>97</v>
      </c>
      <c r="K27" s="3" t="s">
        <v>29</v>
      </c>
      <c r="L27" s="7" t="s">
        <v>30</v>
      </c>
      <c r="M27" s="7">
        <v>1</v>
      </c>
      <c r="N27" s="26" t="s">
        <v>24</v>
      </c>
      <c r="O27" s="27"/>
    </row>
    <row r="28" spans="2:15" ht="19">
      <c r="B28" s="3">
        <v>25</v>
      </c>
      <c r="C28" s="1" t="s">
        <v>25</v>
      </c>
      <c r="D28" s="18" t="s">
        <v>100</v>
      </c>
      <c r="E28" s="22" t="s">
        <v>101</v>
      </c>
      <c r="F28" s="5" t="s">
        <v>102</v>
      </c>
      <c r="G28" s="1">
        <v>13.5</v>
      </c>
      <c r="H28" s="1">
        <v>30</v>
      </c>
      <c r="I28" s="8">
        <f t="shared" si="0"/>
        <v>0.45</v>
      </c>
      <c r="J28" s="1" t="s">
        <v>100</v>
      </c>
      <c r="K28" s="3" t="s">
        <v>29</v>
      </c>
      <c r="L28" s="7" t="s">
        <v>30</v>
      </c>
      <c r="M28" s="7">
        <v>1</v>
      </c>
      <c r="N28" s="26" t="s">
        <v>31</v>
      </c>
      <c r="O28" s="27"/>
    </row>
    <row r="29" spans="2:15" ht="19">
      <c r="B29" s="3">
        <v>26</v>
      </c>
      <c r="C29" s="1" t="s">
        <v>25</v>
      </c>
      <c r="D29" s="18" t="s">
        <v>103</v>
      </c>
      <c r="E29" s="22" t="s">
        <v>104</v>
      </c>
      <c r="F29" s="5" t="s">
        <v>105</v>
      </c>
      <c r="G29" s="1">
        <v>13.5</v>
      </c>
      <c r="H29" s="1">
        <v>30</v>
      </c>
      <c r="I29" s="8">
        <f t="shared" si="0"/>
        <v>0.45</v>
      </c>
      <c r="J29" s="1" t="s">
        <v>103</v>
      </c>
      <c r="K29" s="3" t="s">
        <v>29</v>
      </c>
      <c r="L29" s="7" t="s">
        <v>106</v>
      </c>
      <c r="M29" s="7">
        <v>1</v>
      </c>
      <c r="N29" s="26" t="s">
        <v>19</v>
      </c>
      <c r="O29" s="27"/>
    </row>
    <row r="30" spans="2:15" ht="19">
      <c r="B30" s="3">
        <v>27</v>
      </c>
      <c r="C30" s="1" t="s">
        <v>25</v>
      </c>
      <c r="D30" s="18" t="s">
        <v>107</v>
      </c>
      <c r="E30" s="22" t="s">
        <v>108</v>
      </c>
      <c r="F30" s="5" t="s">
        <v>109</v>
      </c>
      <c r="G30" s="1">
        <v>13.5</v>
      </c>
      <c r="H30" s="1">
        <v>1.35</v>
      </c>
      <c r="I30" s="8">
        <f t="shared" si="0"/>
        <v>10</v>
      </c>
      <c r="J30" s="1" t="s">
        <v>107</v>
      </c>
      <c r="K30" s="3" t="s">
        <v>29</v>
      </c>
      <c r="L30" s="7" t="s">
        <v>110</v>
      </c>
      <c r="M30" s="7">
        <v>1</v>
      </c>
      <c r="N30" s="26" t="s">
        <v>24</v>
      </c>
      <c r="O30" s="27"/>
    </row>
    <row r="31" spans="2:15" ht="19">
      <c r="B31" s="3">
        <v>28</v>
      </c>
      <c r="C31" s="1" t="s">
        <v>25</v>
      </c>
      <c r="D31" s="18" t="s">
        <v>111</v>
      </c>
      <c r="E31" s="22" t="s">
        <v>112</v>
      </c>
      <c r="F31" s="5" t="s">
        <v>113</v>
      </c>
      <c r="G31" s="1">
        <v>13.5</v>
      </c>
      <c r="H31" s="1">
        <v>30</v>
      </c>
      <c r="I31" s="8">
        <f t="shared" si="0"/>
        <v>0.45</v>
      </c>
      <c r="J31" s="1" t="s">
        <v>111</v>
      </c>
      <c r="K31" s="3" t="s">
        <v>29</v>
      </c>
      <c r="L31" s="7" t="s">
        <v>106</v>
      </c>
      <c r="M31" s="7">
        <v>1</v>
      </c>
      <c r="N31" s="26" t="s">
        <v>24</v>
      </c>
      <c r="O31" s="27"/>
    </row>
    <row r="32" spans="2:15" ht="19">
      <c r="B32" s="3">
        <v>29</v>
      </c>
      <c r="C32" s="1" t="s">
        <v>25</v>
      </c>
      <c r="D32" s="18" t="s">
        <v>114</v>
      </c>
      <c r="E32" s="22" t="s">
        <v>115</v>
      </c>
      <c r="F32" s="5" t="s">
        <v>116</v>
      </c>
      <c r="G32" s="1">
        <v>13.5</v>
      </c>
      <c r="H32" s="1">
        <v>30</v>
      </c>
      <c r="I32" s="8">
        <f t="shared" si="0"/>
        <v>0.45</v>
      </c>
      <c r="J32" s="1" t="s">
        <v>114</v>
      </c>
      <c r="K32" s="3" t="s">
        <v>29</v>
      </c>
      <c r="L32" s="7" t="s">
        <v>106</v>
      </c>
      <c r="M32" s="7">
        <v>1</v>
      </c>
      <c r="N32" s="26" t="s">
        <v>35</v>
      </c>
      <c r="O32" s="27"/>
    </row>
    <row r="33" spans="2:15" ht="19">
      <c r="B33" s="3">
        <v>30</v>
      </c>
      <c r="C33" s="1" t="s">
        <v>25</v>
      </c>
      <c r="D33" s="18" t="s">
        <v>117</v>
      </c>
      <c r="E33" s="22" t="s">
        <v>118</v>
      </c>
      <c r="F33" s="5" t="s">
        <v>119</v>
      </c>
      <c r="G33" s="1">
        <v>13.5</v>
      </c>
      <c r="H33" s="1">
        <v>30</v>
      </c>
      <c r="I33" s="8">
        <f t="shared" si="0"/>
        <v>0.45</v>
      </c>
      <c r="J33" s="1" t="s">
        <v>117</v>
      </c>
      <c r="K33" s="3" t="s">
        <v>29</v>
      </c>
      <c r="L33" s="7" t="s">
        <v>106</v>
      </c>
      <c r="M33" s="7">
        <v>1</v>
      </c>
      <c r="N33" s="26" t="s">
        <v>35</v>
      </c>
      <c r="O33" s="27"/>
    </row>
    <row r="34" spans="2:15" ht="19">
      <c r="B34" s="9">
        <v>31</v>
      </c>
      <c r="C34" s="1" t="s">
        <v>25</v>
      </c>
      <c r="D34" s="18" t="s">
        <v>120</v>
      </c>
      <c r="E34" s="22" t="s">
        <v>121</v>
      </c>
      <c r="F34" s="5" t="s">
        <v>122</v>
      </c>
      <c r="G34" s="1">
        <v>13.5</v>
      </c>
      <c r="H34" s="1">
        <v>30</v>
      </c>
      <c r="I34" s="8">
        <f t="shared" si="0"/>
        <v>0.45</v>
      </c>
      <c r="J34" s="1" t="s">
        <v>120</v>
      </c>
      <c r="K34" s="3" t="s">
        <v>29</v>
      </c>
      <c r="L34" s="7" t="s">
        <v>106</v>
      </c>
      <c r="M34" s="7">
        <v>1</v>
      </c>
      <c r="N34" s="26" t="s">
        <v>39</v>
      </c>
      <c r="O34" s="27"/>
    </row>
    <row r="35" spans="2:15" ht="19">
      <c r="B35" s="9">
        <v>32</v>
      </c>
      <c r="C35" s="1" t="s">
        <v>25</v>
      </c>
      <c r="D35" s="18" t="s">
        <v>123</v>
      </c>
      <c r="E35" s="22" t="s">
        <v>124</v>
      </c>
      <c r="F35" s="5" t="s">
        <v>125</v>
      </c>
      <c r="G35" s="1">
        <v>13.5</v>
      </c>
      <c r="H35" s="1">
        <v>30</v>
      </c>
      <c r="I35" s="8">
        <f t="shared" si="0"/>
        <v>0.45</v>
      </c>
      <c r="J35" s="1" t="s">
        <v>123</v>
      </c>
      <c r="K35" s="3" t="s">
        <v>29</v>
      </c>
      <c r="L35" s="7" t="s">
        <v>106</v>
      </c>
      <c r="M35" s="7">
        <v>1</v>
      </c>
      <c r="N35" s="26" t="s">
        <v>39</v>
      </c>
      <c r="O35" s="27"/>
    </row>
    <row r="36" spans="2:15" ht="19">
      <c r="B36" s="3">
        <v>33</v>
      </c>
      <c r="C36" s="1" t="s">
        <v>25</v>
      </c>
      <c r="D36" s="18" t="s">
        <v>126</v>
      </c>
      <c r="E36" s="22" t="s">
        <v>127</v>
      </c>
      <c r="F36" s="5" t="s">
        <v>128</v>
      </c>
      <c r="G36" s="1">
        <v>13.5</v>
      </c>
      <c r="H36" s="1">
        <v>1.35</v>
      </c>
      <c r="I36" s="8">
        <f t="shared" si="0"/>
        <v>10</v>
      </c>
      <c r="J36" s="1" t="s">
        <v>126</v>
      </c>
      <c r="K36" s="3" t="s">
        <v>29</v>
      </c>
      <c r="L36" s="7" t="s">
        <v>129</v>
      </c>
      <c r="M36" s="7">
        <v>1</v>
      </c>
      <c r="N36" s="26" t="s">
        <v>39</v>
      </c>
      <c r="O36" s="27"/>
    </row>
    <row r="37" spans="2:15" ht="19">
      <c r="B37" s="9">
        <v>34</v>
      </c>
      <c r="C37" s="1" t="s">
        <v>25</v>
      </c>
      <c r="D37" s="18" t="s">
        <v>130</v>
      </c>
      <c r="E37" s="22" t="s">
        <v>131</v>
      </c>
      <c r="F37" s="5" t="s">
        <v>132</v>
      </c>
      <c r="G37" s="1">
        <v>13.5</v>
      </c>
      <c r="H37" s="1">
        <v>30</v>
      </c>
      <c r="I37" s="8">
        <f t="shared" si="0"/>
        <v>0.45</v>
      </c>
      <c r="J37" s="1" t="s">
        <v>130</v>
      </c>
      <c r="K37" s="3" t="s">
        <v>29</v>
      </c>
      <c r="L37" s="7" t="s">
        <v>106</v>
      </c>
      <c r="M37" s="7">
        <v>1</v>
      </c>
      <c r="N37" s="26" t="s">
        <v>19</v>
      </c>
      <c r="O37" s="27" t="s">
        <v>133</v>
      </c>
    </row>
    <row r="38" spans="2:15" ht="19">
      <c r="B38" s="9">
        <v>35</v>
      </c>
      <c r="C38" s="1" t="s">
        <v>25</v>
      </c>
      <c r="D38" s="18" t="s">
        <v>134</v>
      </c>
      <c r="E38" s="22" t="s">
        <v>135</v>
      </c>
      <c r="F38" s="5" t="s">
        <v>136</v>
      </c>
      <c r="G38" s="1">
        <v>13.5</v>
      </c>
      <c r="H38" s="1">
        <v>30</v>
      </c>
      <c r="I38" s="8">
        <f t="shared" si="0"/>
        <v>0.45</v>
      </c>
      <c r="J38" s="1" t="s">
        <v>134</v>
      </c>
      <c r="K38" s="3" t="s">
        <v>29</v>
      </c>
      <c r="L38" s="7" t="s">
        <v>106</v>
      </c>
      <c r="M38" s="7">
        <v>1</v>
      </c>
      <c r="N38" s="26" t="s">
        <v>52</v>
      </c>
      <c r="O38" s="27"/>
    </row>
    <row r="39" spans="2:15" ht="19">
      <c r="B39" s="9">
        <v>36</v>
      </c>
      <c r="C39" s="1" t="s">
        <v>25</v>
      </c>
      <c r="D39" s="18" t="s">
        <v>137</v>
      </c>
      <c r="E39" s="22" t="s">
        <v>138</v>
      </c>
      <c r="F39" s="5" t="s">
        <v>139</v>
      </c>
      <c r="G39" s="1">
        <v>13.5</v>
      </c>
      <c r="H39" s="1">
        <v>30</v>
      </c>
      <c r="I39" s="8">
        <f t="shared" si="0"/>
        <v>0.45</v>
      </c>
      <c r="J39" s="1" t="s">
        <v>137</v>
      </c>
      <c r="K39" s="3" t="s">
        <v>29</v>
      </c>
      <c r="L39" s="7" t="s">
        <v>106</v>
      </c>
      <c r="M39" s="7">
        <v>1</v>
      </c>
      <c r="N39" s="26" t="s">
        <v>24</v>
      </c>
      <c r="O39" s="27"/>
    </row>
    <row r="40" spans="2:15" ht="19">
      <c r="B40" s="9">
        <v>37</v>
      </c>
      <c r="C40" s="1" t="s">
        <v>25</v>
      </c>
      <c r="D40" s="18" t="s">
        <v>140</v>
      </c>
      <c r="E40" s="22" t="s">
        <v>141</v>
      </c>
      <c r="F40" s="5" t="s">
        <v>142</v>
      </c>
      <c r="G40" s="1">
        <v>13.5</v>
      </c>
      <c r="H40" s="1">
        <v>30</v>
      </c>
      <c r="I40" s="8">
        <f t="shared" si="0"/>
        <v>0.45</v>
      </c>
      <c r="J40" s="1" t="s">
        <v>140</v>
      </c>
      <c r="K40" s="3" t="s">
        <v>29</v>
      </c>
      <c r="L40" s="7" t="s">
        <v>106</v>
      </c>
      <c r="M40" s="7">
        <v>1</v>
      </c>
      <c r="N40" s="26" t="s">
        <v>52</v>
      </c>
      <c r="O40" s="27"/>
    </row>
    <row r="41" spans="2:15" ht="19">
      <c r="B41" s="9">
        <v>38</v>
      </c>
      <c r="C41" s="1" t="s">
        <v>25</v>
      </c>
      <c r="D41" s="18" t="s">
        <v>143</v>
      </c>
      <c r="E41" s="22" t="s">
        <v>144</v>
      </c>
      <c r="F41" s="5" t="s">
        <v>145</v>
      </c>
      <c r="G41" s="1">
        <v>13.5</v>
      </c>
      <c r="H41" s="1">
        <v>30</v>
      </c>
      <c r="I41" s="8">
        <f t="shared" si="0"/>
        <v>0.45</v>
      </c>
      <c r="J41" s="1" t="s">
        <v>143</v>
      </c>
      <c r="K41" s="3" t="s">
        <v>29</v>
      </c>
      <c r="L41" s="7" t="s">
        <v>106</v>
      </c>
      <c r="M41" s="7">
        <v>1</v>
      </c>
      <c r="N41" s="26" t="s">
        <v>35</v>
      </c>
      <c r="O41" s="27"/>
    </row>
    <row r="42" spans="2:15" ht="38">
      <c r="B42" s="9">
        <v>39</v>
      </c>
      <c r="C42" s="1" t="s">
        <v>25</v>
      </c>
      <c r="D42" s="19" t="s">
        <v>336</v>
      </c>
      <c r="E42" s="22" t="s">
        <v>147</v>
      </c>
      <c r="F42" s="5" t="s">
        <v>148</v>
      </c>
      <c r="G42" s="1">
        <v>13.5</v>
      </c>
      <c r="H42" s="1">
        <v>30</v>
      </c>
      <c r="I42" s="8">
        <f t="shared" si="0"/>
        <v>0.45</v>
      </c>
      <c r="J42" s="10" t="s">
        <v>146</v>
      </c>
      <c r="K42" s="3" t="s">
        <v>29</v>
      </c>
      <c r="L42" s="7" t="s">
        <v>106</v>
      </c>
      <c r="M42" s="7">
        <v>1</v>
      </c>
      <c r="N42" s="26" t="s">
        <v>39</v>
      </c>
      <c r="O42" s="27"/>
    </row>
    <row r="43" spans="2:15" ht="19">
      <c r="B43" s="3">
        <v>40</v>
      </c>
      <c r="C43" s="1" t="s">
        <v>25</v>
      </c>
      <c r="D43" s="18" t="s">
        <v>149</v>
      </c>
      <c r="E43" s="22" t="s">
        <v>150</v>
      </c>
      <c r="F43" s="5" t="s">
        <v>151</v>
      </c>
      <c r="G43" s="1">
        <v>13.5</v>
      </c>
      <c r="H43" s="1">
        <v>15.67</v>
      </c>
      <c r="I43" s="8">
        <f t="shared" si="0"/>
        <v>0.86151882578174854</v>
      </c>
      <c r="J43" s="1" t="s">
        <v>149</v>
      </c>
      <c r="K43" s="3" t="s">
        <v>29</v>
      </c>
      <c r="L43" s="7" t="s">
        <v>106</v>
      </c>
      <c r="M43" s="7">
        <v>1</v>
      </c>
      <c r="N43" s="26" t="s">
        <v>52</v>
      </c>
      <c r="O43" s="27"/>
    </row>
    <row r="44" spans="2:15" ht="19">
      <c r="B44" s="3">
        <v>41</v>
      </c>
      <c r="C44" s="1" t="s">
        <v>25</v>
      </c>
      <c r="D44" s="18" t="s">
        <v>152</v>
      </c>
      <c r="E44" s="22" t="s">
        <v>153</v>
      </c>
      <c r="F44" s="5" t="s">
        <v>154</v>
      </c>
      <c r="G44" s="1">
        <v>13.5</v>
      </c>
      <c r="H44" s="1">
        <v>15</v>
      </c>
      <c r="I44" s="8">
        <f t="shared" si="0"/>
        <v>0.9</v>
      </c>
      <c r="J44" s="1" t="s">
        <v>152</v>
      </c>
      <c r="K44" s="3" t="s">
        <v>29</v>
      </c>
      <c r="L44" s="7" t="s">
        <v>106</v>
      </c>
      <c r="M44" s="7">
        <v>1</v>
      </c>
      <c r="N44" s="26" t="s">
        <v>31</v>
      </c>
      <c r="O44" s="27"/>
    </row>
    <row r="45" spans="2:15" ht="19">
      <c r="B45" s="3">
        <v>42</v>
      </c>
      <c r="C45" s="1" t="s">
        <v>25</v>
      </c>
      <c r="D45" s="18" t="s">
        <v>155</v>
      </c>
      <c r="E45" s="22" t="s">
        <v>156</v>
      </c>
      <c r="F45" s="5" t="s">
        <v>157</v>
      </c>
      <c r="G45" s="1">
        <v>13.5</v>
      </c>
      <c r="H45" s="1">
        <v>15</v>
      </c>
      <c r="I45" s="8">
        <f t="shared" si="0"/>
        <v>0.9</v>
      </c>
      <c r="J45" s="1" t="s">
        <v>155</v>
      </c>
      <c r="K45" s="3" t="s">
        <v>29</v>
      </c>
      <c r="L45" s="7" t="s">
        <v>106</v>
      </c>
      <c r="M45" s="7">
        <v>1</v>
      </c>
      <c r="N45" s="26" t="s">
        <v>31</v>
      </c>
      <c r="O45" s="27"/>
    </row>
    <row r="46" spans="2:15" ht="19">
      <c r="B46" s="3">
        <v>43</v>
      </c>
      <c r="C46" s="1" t="s">
        <v>25</v>
      </c>
      <c r="D46" s="18" t="s">
        <v>158</v>
      </c>
      <c r="E46" s="22" t="s">
        <v>159</v>
      </c>
      <c r="F46" s="5" t="s">
        <v>160</v>
      </c>
      <c r="G46" s="1">
        <v>13.5</v>
      </c>
      <c r="H46" s="1">
        <v>15</v>
      </c>
      <c r="I46" s="8">
        <f t="shared" si="0"/>
        <v>0.9</v>
      </c>
      <c r="J46" s="1" t="s">
        <v>158</v>
      </c>
      <c r="K46" s="3" t="s">
        <v>29</v>
      </c>
      <c r="L46" s="7" t="s">
        <v>106</v>
      </c>
      <c r="M46" s="7">
        <v>1</v>
      </c>
      <c r="N46" s="26" t="s">
        <v>19</v>
      </c>
      <c r="O46" s="27"/>
    </row>
    <row r="47" spans="2:15" ht="19">
      <c r="B47" s="3">
        <v>44</v>
      </c>
      <c r="C47" s="1" t="s">
        <v>25</v>
      </c>
      <c r="D47" s="18" t="s">
        <v>161</v>
      </c>
      <c r="E47" s="22" t="s">
        <v>162</v>
      </c>
      <c r="F47" s="5" t="s">
        <v>163</v>
      </c>
      <c r="G47" s="1">
        <v>13.5</v>
      </c>
      <c r="H47" s="1">
        <v>15</v>
      </c>
      <c r="I47" s="8">
        <f t="shared" si="0"/>
        <v>0.9</v>
      </c>
      <c r="J47" s="1" t="s">
        <v>161</v>
      </c>
      <c r="K47" s="3" t="s">
        <v>29</v>
      </c>
      <c r="L47" s="7" t="s">
        <v>106</v>
      </c>
      <c r="M47" s="7">
        <v>1</v>
      </c>
      <c r="N47" s="26" t="s">
        <v>19</v>
      </c>
      <c r="O47" s="27"/>
    </row>
    <row r="48" spans="2:15" ht="19">
      <c r="B48" s="3">
        <v>45</v>
      </c>
      <c r="C48" s="1" t="s">
        <v>164</v>
      </c>
      <c r="D48" s="18" t="s">
        <v>165</v>
      </c>
      <c r="E48" s="22" t="s">
        <v>166</v>
      </c>
      <c r="F48" s="5" t="s">
        <v>167</v>
      </c>
      <c r="G48" s="1">
        <v>13.5</v>
      </c>
      <c r="H48" s="1">
        <v>1</v>
      </c>
      <c r="I48" s="11">
        <f t="shared" si="0"/>
        <v>13.5</v>
      </c>
      <c r="J48" s="1" t="s">
        <v>165</v>
      </c>
      <c r="K48" s="3" t="s">
        <v>29</v>
      </c>
      <c r="L48" s="7" t="s">
        <v>168</v>
      </c>
      <c r="M48" s="7">
        <v>2</v>
      </c>
      <c r="N48" s="26" t="s">
        <v>35</v>
      </c>
      <c r="O48" s="27" t="s">
        <v>169</v>
      </c>
    </row>
    <row r="49" spans="2:15" ht="38">
      <c r="B49" s="3">
        <v>46</v>
      </c>
      <c r="C49" s="1" t="s">
        <v>164</v>
      </c>
      <c r="D49" s="19" t="s">
        <v>335</v>
      </c>
      <c r="E49" s="22" t="s">
        <v>171</v>
      </c>
      <c r="F49" s="5" t="s">
        <v>172</v>
      </c>
      <c r="G49" s="1">
        <v>13.5</v>
      </c>
      <c r="H49" s="1">
        <v>13.5</v>
      </c>
      <c r="I49" s="8">
        <f t="shared" si="0"/>
        <v>1</v>
      </c>
      <c r="J49" s="10" t="s">
        <v>170</v>
      </c>
      <c r="K49" s="3" t="s">
        <v>29</v>
      </c>
      <c r="L49" s="7" t="s">
        <v>106</v>
      </c>
      <c r="M49" s="7">
        <v>1</v>
      </c>
      <c r="N49" s="26" t="s">
        <v>19</v>
      </c>
      <c r="O49" s="27"/>
    </row>
    <row r="50" spans="2:15" ht="19">
      <c r="B50" s="3">
        <v>47</v>
      </c>
      <c r="C50" s="1" t="s">
        <v>164</v>
      </c>
      <c r="D50" s="18" t="s">
        <v>173</v>
      </c>
      <c r="E50" s="22" t="s">
        <v>174</v>
      </c>
      <c r="F50" s="5" t="s">
        <v>175</v>
      </c>
      <c r="G50" s="1">
        <v>13.5</v>
      </c>
      <c r="H50" s="1">
        <v>13.5</v>
      </c>
      <c r="I50" s="8">
        <f t="shared" si="0"/>
        <v>1</v>
      </c>
      <c r="J50" s="1" t="s">
        <v>173</v>
      </c>
      <c r="K50" s="3" t="s">
        <v>29</v>
      </c>
      <c r="L50" s="7" t="s">
        <v>106</v>
      </c>
      <c r="M50" s="7">
        <v>1</v>
      </c>
      <c r="N50" s="26" t="s">
        <v>52</v>
      </c>
      <c r="O50" s="27"/>
    </row>
    <row r="51" spans="2:15" ht="19">
      <c r="B51" s="3">
        <v>48</v>
      </c>
      <c r="C51" s="1" t="s">
        <v>164</v>
      </c>
      <c r="D51" s="18" t="s">
        <v>176</v>
      </c>
      <c r="E51" s="22" t="s">
        <v>177</v>
      </c>
      <c r="F51" s="5" t="s">
        <v>178</v>
      </c>
      <c r="G51" s="1">
        <v>13.5</v>
      </c>
      <c r="H51" s="1">
        <v>13.5</v>
      </c>
      <c r="I51" s="8">
        <f t="shared" si="0"/>
        <v>1</v>
      </c>
      <c r="J51" s="1" t="s">
        <v>176</v>
      </c>
      <c r="K51" s="3" t="s">
        <v>29</v>
      </c>
      <c r="L51" s="7" t="s">
        <v>106</v>
      </c>
      <c r="M51" s="7">
        <v>1</v>
      </c>
      <c r="N51" s="26" t="s">
        <v>31</v>
      </c>
      <c r="O51" s="27"/>
    </row>
    <row r="52" spans="2:15" ht="19">
      <c r="B52" s="3">
        <v>49</v>
      </c>
      <c r="C52" s="1" t="s">
        <v>164</v>
      </c>
      <c r="D52" s="18" t="s">
        <v>179</v>
      </c>
      <c r="E52" s="22" t="s">
        <v>180</v>
      </c>
      <c r="F52" s="5" t="s">
        <v>181</v>
      </c>
      <c r="G52" s="1">
        <v>13.5</v>
      </c>
      <c r="H52" s="1">
        <v>1</v>
      </c>
      <c r="I52" s="11">
        <f t="shared" si="0"/>
        <v>13.5</v>
      </c>
      <c r="J52" s="1" t="s">
        <v>179</v>
      </c>
      <c r="K52" s="3" t="s">
        <v>29</v>
      </c>
      <c r="L52" s="7" t="s">
        <v>182</v>
      </c>
      <c r="M52" s="7">
        <v>2</v>
      </c>
      <c r="N52" s="26" t="s">
        <v>31</v>
      </c>
      <c r="O52" s="27"/>
    </row>
    <row r="53" spans="2:15" ht="19">
      <c r="B53" s="9">
        <v>50</v>
      </c>
      <c r="C53" s="1" t="s">
        <v>25</v>
      </c>
      <c r="D53" s="18" t="s">
        <v>183</v>
      </c>
      <c r="E53" s="22" t="s">
        <v>184</v>
      </c>
      <c r="F53" s="5" t="s">
        <v>185</v>
      </c>
      <c r="G53" s="1">
        <v>13.5</v>
      </c>
      <c r="H53" s="1">
        <v>10</v>
      </c>
      <c r="I53" s="8">
        <f t="shared" si="0"/>
        <v>1.35</v>
      </c>
      <c r="J53" s="1" t="s">
        <v>183</v>
      </c>
      <c r="K53" s="3" t="s">
        <v>29</v>
      </c>
      <c r="L53" s="7" t="s">
        <v>106</v>
      </c>
      <c r="M53" s="7">
        <v>1</v>
      </c>
      <c r="N53" s="26" t="s">
        <v>31</v>
      </c>
      <c r="O53" s="27"/>
    </row>
    <row r="54" spans="2:15" ht="19">
      <c r="B54" s="9">
        <v>51</v>
      </c>
      <c r="C54" s="1" t="s">
        <v>25</v>
      </c>
      <c r="D54" s="18" t="s">
        <v>186</v>
      </c>
      <c r="E54" s="22" t="s">
        <v>187</v>
      </c>
      <c r="F54" s="5" t="s">
        <v>188</v>
      </c>
      <c r="G54" s="1">
        <v>13.5</v>
      </c>
      <c r="H54" s="1">
        <v>10</v>
      </c>
      <c r="I54" s="8">
        <f t="shared" si="0"/>
        <v>1.35</v>
      </c>
      <c r="J54" s="1" t="s">
        <v>186</v>
      </c>
      <c r="K54" s="3" t="s">
        <v>29</v>
      </c>
      <c r="L54" s="7" t="s">
        <v>106</v>
      </c>
      <c r="M54" s="7">
        <v>1</v>
      </c>
      <c r="N54" s="26" t="s">
        <v>24</v>
      </c>
      <c r="O54" s="27"/>
    </row>
    <row r="55" spans="2:15" ht="19">
      <c r="B55" s="9">
        <v>52</v>
      </c>
      <c r="C55" s="1" t="s">
        <v>25</v>
      </c>
      <c r="D55" s="18" t="s">
        <v>189</v>
      </c>
      <c r="E55" s="22" t="s">
        <v>190</v>
      </c>
      <c r="F55" s="5" t="s">
        <v>191</v>
      </c>
      <c r="G55" s="1">
        <v>13.5</v>
      </c>
      <c r="H55" s="1">
        <v>9.64</v>
      </c>
      <c r="I55" s="12">
        <f t="shared" si="0"/>
        <v>1.400414937759336</v>
      </c>
      <c r="J55" s="1" t="s">
        <v>189</v>
      </c>
      <c r="K55" s="3" t="s">
        <v>29</v>
      </c>
      <c r="L55" s="7" t="s">
        <v>192</v>
      </c>
      <c r="M55" s="7">
        <v>3</v>
      </c>
      <c r="N55" s="26" t="s">
        <v>52</v>
      </c>
      <c r="O55" s="27"/>
    </row>
    <row r="56" spans="2:15" ht="19">
      <c r="B56" s="9">
        <v>53</v>
      </c>
      <c r="C56" s="1" t="s">
        <v>25</v>
      </c>
      <c r="D56" s="18" t="s">
        <v>193</v>
      </c>
      <c r="E56" s="22" t="s">
        <v>194</v>
      </c>
      <c r="F56" s="5" t="s">
        <v>195</v>
      </c>
      <c r="G56" s="1">
        <v>13.5</v>
      </c>
      <c r="H56" s="1">
        <v>9</v>
      </c>
      <c r="I56" s="12">
        <f t="shared" si="0"/>
        <v>1.5</v>
      </c>
      <c r="J56" s="1" t="s">
        <v>193</v>
      </c>
      <c r="K56" s="3" t="s">
        <v>29</v>
      </c>
      <c r="L56" s="7" t="s">
        <v>192</v>
      </c>
      <c r="M56" s="7">
        <v>3</v>
      </c>
      <c r="N56" s="26" t="s">
        <v>39</v>
      </c>
      <c r="O56" s="27"/>
    </row>
    <row r="57" spans="2:15" ht="19">
      <c r="B57" s="9">
        <v>54</v>
      </c>
      <c r="C57" s="1" t="s">
        <v>25</v>
      </c>
      <c r="D57" s="18" t="s">
        <v>196</v>
      </c>
      <c r="E57" s="22" t="s">
        <v>197</v>
      </c>
      <c r="F57" s="5" t="s">
        <v>198</v>
      </c>
      <c r="G57" s="1">
        <v>13.5</v>
      </c>
      <c r="H57" s="1">
        <v>9</v>
      </c>
      <c r="I57" s="12">
        <f t="shared" si="0"/>
        <v>1.5</v>
      </c>
      <c r="J57" s="1" t="s">
        <v>196</v>
      </c>
      <c r="K57" s="3" t="s">
        <v>29</v>
      </c>
      <c r="L57" s="7" t="s">
        <v>192</v>
      </c>
      <c r="M57" s="7">
        <v>3</v>
      </c>
      <c r="N57" s="26" t="s">
        <v>31</v>
      </c>
      <c r="O57" s="27"/>
    </row>
    <row r="58" spans="2:15" ht="19">
      <c r="B58" s="3">
        <v>55</v>
      </c>
      <c r="C58" s="1" t="s">
        <v>164</v>
      </c>
      <c r="D58" s="18" t="s">
        <v>199</v>
      </c>
      <c r="E58" s="22" t="s">
        <v>200</v>
      </c>
      <c r="F58" s="5" t="s">
        <v>201</v>
      </c>
      <c r="G58" s="1">
        <v>13.5</v>
      </c>
      <c r="H58" s="1">
        <v>1</v>
      </c>
      <c r="I58" s="11">
        <f t="shared" si="0"/>
        <v>13.5</v>
      </c>
      <c r="J58" s="1" t="s">
        <v>199</v>
      </c>
      <c r="K58" s="3" t="s">
        <v>29</v>
      </c>
      <c r="L58" s="7" t="s">
        <v>202</v>
      </c>
      <c r="M58" s="7">
        <v>2</v>
      </c>
      <c r="N58" s="26" t="s">
        <v>39</v>
      </c>
      <c r="O58" s="27"/>
    </row>
    <row r="59" spans="2:15" ht="19">
      <c r="B59" s="9">
        <v>56</v>
      </c>
      <c r="C59" s="1" t="s">
        <v>25</v>
      </c>
      <c r="D59" s="20" t="s">
        <v>203</v>
      </c>
      <c r="E59" s="22" t="s">
        <v>204</v>
      </c>
      <c r="F59" s="5" t="s">
        <v>205</v>
      </c>
      <c r="G59" s="1">
        <v>13.5</v>
      </c>
      <c r="H59" s="1">
        <v>9</v>
      </c>
      <c r="I59" s="12">
        <f t="shared" si="0"/>
        <v>1.5</v>
      </c>
      <c r="J59" s="13" t="s">
        <v>203</v>
      </c>
      <c r="K59" s="3" t="s">
        <v>29</v>
      </c>
      <c r="L59" s="7" t="s">
        <v>206</v>
      </c>
      <c r="M59" s="7">
        <v>3</v>
      </c>
      <c r="N59" s="26" t="s">
        <v>35</v>
      </c>
      <c r="O59" s="27" t="s">
        <v>207</v>
      </c>
    </row>
    <row r="60" spans="2:15" ht="19">
      <c r="B60" s="9">
        <v>57</v>
      </c>
      <c r="C60" s="1" t="s">
        <v>25</v>
      </c>
      <c r="D60" s="18" t="s">
        <v>208</v>
      </c>
      <c r="E60" s="22" t="s">
        <v>209</v>
      </c>
      <c r="F60" s="5" t="s">
        <v>210</v>
      </c>
      <c r="G60" s="1">
        <v>13.5</v>
      </c>
      <c r="H60" s="1">
        <v>9</v>
      </c>
      <c r="I60" s="12">
        <f t="shared" si="0"/>
        <v>1.5</v>
      </c>
      <c r="J60" s="1" t="s">
        <v>208</v>
      </c>
      <c r="K60" s="3" t="s">
        <v>29</v>
      </c>
      <c r="L60" s="7" t="s">
        <v>206</v>
      </c>
      <c r="M60" s="7">
        <v>3</v>
      </c>
      <c r="N60" s="26" t="s">
        <v>35</v>
      </c>
      <c r="O60" s="27"/>
    </row>
    <row r="61" spans="2:15" ht="19">
      <c r="B61" s="9">
        <v>58</v>
      </c>
      <c r="C61" s="1" t="s">
        <v>25</v>
      </c>
      <c r="D61" s="18" t="s">
        <v>211</v>
      </c>
      <c r="E61" s="22" t="s">
        <v>212</v>
      </c>
      <c r="F61" s="5" t="s">
        <v>213</v>
      </c>
      <c r="G61" s="1">
        <v>13.5</v>
      </c>
      <c r="H61" s="1">
        <v>9</v>
      </c>
      <c r="I61" s="12">
        <f t="shared" si="0"/>
        <v>1.5</v>
      </c>
      <c r="J61" s="1" t="s">
        <v>211</v>
      </c>
      <c r="K61" s="3" t="s">
        <v>29</v>
      </c>
      <c r="L61" s="7" t="s">
        <v>206</v>
      </c>
      <c r="M61" s="7">
        <v>3</v>
      </c>
      <c r="N61" s="26" t="s">
        <v>24</v>
      </c>
      <c r="O61" s="27"/>
    </row>
    <row r="62" spans="2:15" ht="19">
      <c r="B62" s="3">
        <v>59</v>
      </c>
      <c r="C62" s="1" t="s">
        <v>25</v>
      </c>
      <c r="D62" s="18" t="s">
        <v>214</v>
      </c>
      <c r="E62" s="22" t="s">
        <v>215</v>
      </c>
      <c r="F62" s="5" t="s">
        <v>216</v>
      </c>
      <c r="G62" s="1">
        <v>13.5</v>
      </c>
      <c r="H62" s="1">
        <v>6.14</v>
      </c>
      <c r="I62" s="12">
        <f t="shared" si="0"/>
        <v>2.1986970684039089</v>
      </c>
      <c r="J62" s="1" t="s">
        <v>214</v>
      </c>
      <c r="K62" s="3" t="s">
        <v>29</v>
      </c>
      <c r="L62" s="7" t="s">
        <v>206</v>
      </c>
      <c r="M62" s="7">
        <v>3</v>
      </c>
      <c r="N62" s="26" t="s">
        <v>39</v>
      </c>
      <c r="O62" s="27"/>
    </row>
    <row r="63" spans="2:15" ht="19">
      <c r="B63" s="3">
        <v>60</v>
      </c>
      <c r="C63" s="1" t="s">
        <v>25</v>
      </c>
      <c r="D63" s="18" t="s">
        <v>217</v>
      </c>
      <c r="E63" s="22" t="s">
        <v>218</v>
      </c>
      <c r="F63" s="5" t="s">
        <v>219</v>
      </c>
      <c r="G63" s="1">
        <v>13.5</v>
      </c>
      <c r="H63" s="1">
        <v>6.14</v>
      </c>
      <c r="I63" s="12">
        <f t="shared" si="0"/>
        <v>2.1986970684039089</v>
      </c>
      <c r="J63" s="1" t="s">
        <v>217</v>
      </c>
      <c r="K63" s="3" t="s">
        <v>29</v>
      </c>
      <c r="L63" s="7" t="s">
        <v>206</v>
      </c>
      <c r="M63" s="7">
        <v>3</v>
      </c>
      <c r="N63" s="26" t="s">
        <v>52</v>
      </c>
      <c r="O63" s="27"/>
    </row>
    <row r="64" spans="2:15" ht="19">
      <c r="B64" s="3">
        <v>61</v>
      </c>
      <c r="C64" s="1" t="s">
        <v>25</v>
      </c>
      <c r="D64" s="18" t="s">
        <v>220</v>
      </c>
      <c r="E64" s="22" t="s">
        <v>221</v>
      </c>
      <c r="F64" s="5" t="s">
        <v>222</v>
      </c>
      <c r="G64" s="1">
        <v>13.5</v>
      </c>
      <c r="H64" s="1">
        <v>6.14</v>
      </c>
      <c r="I64" s="12">
        <f t="shared" si="0"/>
        <v>2.1986970684039089</v>
      </c>
      <c r="J64" s="1" t="s">
        <v>220</v>
      </c>
      <c r="K64" s="3" t="s">
        <v>29</v>
      </c>
      <c r="L64" s="7" t="s">
        <v>206</v>
      </c>
      <c r="M64" s="7">
        <v>3</v>
      </c>
      <c r="N64" s="26" t="s">
        <v>31</v>
      </c>
      <c r="O64" s="27"/>
    </row>
    <row r="65" spans="2:15" ht="19">
      <c r="B65" s="3">
        <v>62</v>
      </c>
      <c r="C65" s="1" t="s">
        <v>25</v>
      </c>
      <c r="D65" s="20" t="s">
        <v>223</v>
      </c>
      <c r="E65" s="22" t="s">
        <v>224</v>
      </c>
      <c r="F65" s="5" t="s">
        <v>225</v>
      </c>
      <c r="G65" s="1">
        <v>13.5</v>
      </c>
      <c r="H65" s="1">
        <v>6.14</v>
      </c>
      <c r="I65" s="12">
        <f t="shared" si="0"/>
        <v>2.1986970684039089</v>
      </c>
      <c r="J65" s="13" t="s">
        <v>223</v>
      </c>
      <c r="K65" s="3" t="s">
        <v>29</v>
      </c>
      <c r="L65" s="7" t="s">
        <v>192</v>
      </c>
      <c r="M65" s="7">
        <v>3</v>
      </c>
      <c r="N65" s="26" t="s">
        <v>35</v>
      </c>
      <c r="O65" s="27"/>
    </row>
    <row r="66" spans="2:15" ht="19">
      <c r="B66" s="3">
        <v>63</v>
      </c>
      <c r="C66" s="1" t="s">
        <v>25</v>
      </c>
      <c r="D66" s="18" t="s">
        <v>226</v>
      </c>
      <c r="E66" s="22" t="s">
        <v>227</v>
      </c>
      <c r="F66" s="5" t="s">
        <v>228</v>
      </c>
      <c r="G66" s="1">
        <v>13.5</v>
      </c>
      <c r="H66" s="1">
        <v>6.14</v>
      </c>
      <c r="I66" s="12">
        <f t="shared" si="0"/>
        <v>2.1986970684039089</v>
      </c>
      <c r="J66" s="1" t="s">
        <v>226</v>
      </c>
      <c r="K66" s="3" t="s">
        <v>29</v>
      </c>
      <c r="L66" s="7" t="s">
        <v>192</v>
      </c>
      <c r="M66" s="7">
        <v>3</v>
      </c>
      <c r="N66" s="26" t="s">
        <v>52</v>
      </c>
      <c r="O66" s="27"/>
    </row>
    <row r="67" spans="2:15" ht="19">
      <c r="B67" s="9">
        <v>64</v>
      </c>
      <c r="C67" s="1" t="s">
        <v>25</v>
      </c>
      <c r="D67" s="18" t="s">
        <v>229</v>
      </c>
      <c r="E67" s="22" t="s">
        <v>230</v>
      </c>
      <c r="F67" s="5" t="s">
        <v>231</v>
      </c>
      <c r="G67" s="1">
        <v>13.5</v>
      </c>
      <c r="H67" s="1">
        <v>5</v>
      </c>
      <c r="I67" s="12">
        <f t="shared" si="0"/>
        <v>2.7</v>
      </c>
      <c r="J67" s="1" t="s">
        <v>229</v>
      </c>
      <c r="K67" s="3" t="s">
        <v>29</v>
      </c>
      <c r="L67" s="7" t="s">
        <v>192</v>
      </c>
      <c r="M67" s="7">
        <v>3</v>
      </c>
      <c r="N67" s="26" t="s">
        <v>39</v>
      </c>
      <c r="O67" s="27"/>
    </row>
    <row r="68" spans="2:15" ht="19">
      <c r="B68" s="9">
        <v>65</v>
      </c>
      <c r="C68" s="1" t="s">
        <v>25</v>
      </c>
      <c r="D68" s="18" t="s">
        <v>232</v>
      </c>
      <c r="E68" s="22" t="s">
        <v>233</v>
      </c>
      <c r="F68" s="5" t="s">
        <v>234</v>
      </c>
      <c r="G68" s="1">
        <v>13.5</v>
      </c>
      <c r="H68" s="1">
        <v>5</v>
      </c>
      <c r="I68" s="12">
        <f t="shared" ref="I68:I100" si="1">G68/H68</f>
        <v>2.7</v>
      </c>
      <c r="J68" s="1" t="s">
        <v>232</v>
      </c>
      <c r="K68" s="3" t="s">
        <v>29</v>
      </c>
      <c r="L68" s="7" t="s">
        <v>192</v>
      </c>
      <c r="M68" s="7">
        <v>3</v>
      </c>
      <c r="N68" s="26" t="s">
        <v>31</v>
      </c>
      <c r="O68" s="27"/>
    </row>
    <row r="69" spans="2:15" ht="19">
      <c r="B69" s="9">
        <v>66</v>
      </c>
      <c r="C69" s="1" t="s">
        <v>25</v>
      </c>
      <c r="D69" s="18" t="s">
        <v>235</v>
      </c>
      <c r="E69" s="22" t="s">
        <v>236</v>
      </c>
      <c r="F69" s="5" t="s">
        <v>237</v>
      </c>
      <c r="G69" s="1">
        <v>13.5</v>
      </c>
      <c r="H69" s="1">
        <v>5</v>
      </c>
      <c r="I69" s="12">
        <f t="shared" si="1"/>
        <v>2.7</v>
      </c>
      <c r="J69" s="1" t="s">
        <v>235</v>
      </c>
      <c r="K69" s="3" t="s">
        <v>29</v>
      </c>
      <c r="L69" s="7" t="s">
        <v>192</v>
      </c>
      <c r="M69" s="7">
        <v>3</v>
      </c>
      <c r="N69" s="26" t="s">
        <v>52</v>
      </c>
      <c r="O69" s="27"/>
    </row>
    <row r="70" spans="2:15" ht="19">
      <c r="B70" s="3">
        <v>67</v>
      </c>
      <c r="C70" s="1" t="s">
        <v>164</v>
      </c>
      <c r="D70" s="18" t="s">
        <v>238</v>
      </c>
      <c r="E70" s="22" t="s">
        <v>239</v>
      </c>
      <c r="F70" s="5" t="s">
        <v>240</v>
      </c>
      <c r="G70" s="1">
        <v>13.5</v>
      </c>
      <c r="H70" s="1">
        <v>3.75</v>
      </c>
      <c r="I70" s="12">
        <f t="shared" si="1"/>
        <v>3.6</v>
      </c>
      <c r="J70" s="1" t="s">
        <v>238</v>
      </c>
      <c r="K70" s="3" t="s">
        <v>29</v>
      </c>
      <c r="L70" s="7" t="s">
        <v>241</v>
      </c>
      <c r="M70" s="7">
        <v>3</v>
      </c>
      <c r="N70" s="26" t="s">
        <v>39</v>
      </c>
      <c r="O70" s="27" t="s">
        <v>242</v>
      </c>
    </row>
    <row r="71" spans="2:15" ht="19">
      <c r="B71" s="3">
        <v>68</v>
      </c>
      <c r="C71" s="1" t="s">
        <v>164</v>
      </c>
      <c r="D71" s="18" t="s">
        <v>243</v>
      </c>
      <c r="E71" s="22" t="s">
        <v>244</v>
      </c>
      <c r="F71" s="5" t="s">
        <v>245</v>
      </c>
      <c r="G71" s="1">
        <v>13.5</v>
      </c>
      <c r="H71" s="1">
        <v>3.75</v>
      </c>
      <c r="I71" s="12">
        <f t="shared" si="1"/>
        <v>3.6</v>
      </c>
      <c r="J71" s="1" t="s">
        <v>243</v>
      </c>
      <c r="K71" s="3" t="s">
        <v>29</v>
      </c>
      <c r="L71" s="7" t="s">
        <v>241</v>
      </c>
      <c r="M71" s="7">
        <v>3</v>
      </c>
      <c r="N71" s="26" t="s">
        <v>52</v>
      </c>
      <c r="O71" s="27"/>
    </row>
    <row r="72" spans="2:15" ht="19">
      <c r="B72" s="3">
        <v>69</v>
      </c>
      <c r="C72" s="1" t="s">
        <v>164</v>
      </c>
      <c r="D72" s="18" t="s">
        <v>246</v>
      </c>
      <c r="E72" s="22" t="s">
        <v>247</v>
      </c>
      <c r="F72" s="5" t="s">
        <v>248</v>
      </c>
      <c r="G72" s="1">
        <v>13.5</v>
      </c>
      <c r="H72" s="1">
        <v>3.75</v>
      </c>
      <c r="I72" s="12">
        <f t="shared" si="1"/>
        <v>3.6</v>
      </c>
      <c r="J72" s="1" t="s">
        <v>246</v>
      </c>
      <c r="K72" s="3" t="s">
        <v>29</v>
      </c>
      <c r="L72" s="7" t="s">
        <v>241</v>
      </c>
      <c r="M72" s="7">
        <v>3</v>
      </c>
      <c r="N72" s="26" t="s">
        <v>31</v>
      </c>
      <c r="O72" s="27"/>
    </row>
    <row r="73" spans="2:15" ht="19">
      <c r="B73" s="3">
        <v>70</v>
      </c>
      <c r="C73" s="1" t="s">
        <v>164</v>
      </c>
      <c r="D73" s="18" t="s">
        <v>249</v>
      </c>
      <c r="E73" s="22" t="s">
        <v>250</v>
      </c>
      <c r="F73" s="5" t="s">
        <v>251</v>
      </c>
      <c r="G73" s="1">
        <v>13.5</v>
      </c>
      <c r="H73" s="1">
        <v>3.75</v>
      </c>
      <c r="I73" s="12">
        <f t="shared" si="1"/>
        <v>3.6</v>
      </c>
      <c r="J73" s="1" t="s">
        <v>249</v>
      </c>
      <c r="K73" s="3" t="s">
        <v>29</v>
      </c>
      <c r="L73" s="7" t="s">
        <v>241</v>
      </c>
      <c r="M73" s="7">
        <v>3</v>
      </c>
      <c r="N73" s="26" t="s">
        <v>39</v>
      </c>
      <c r="O73" s="27"/>
    </row>
    <row r="74" spans="2:15" ht="19">
      <c r="B74" s="3">
        <v>71</v>
      </c>
      <c r="C74" s="1" t="s">
        <v>164</v>
      </c>
      <c r="D74" s="18" t="s">
        <v>252</v>
      </c>
      <c r="E74" s="22" t="s">
        <v>253</v>
      </c>
      <c r="F74" s="5" t="s">
        <v>254</v>
      </c>
      <c r="G74" s="1">
        <v>13.5</v>
      </c>
      <c r="H74" s="1">
        <v>3</v>
      </c>
      <c r="I74" s="14">
        <f t="shared" si="1"/>
        <v>4.5</v>
      </c>
      <c r="J74" s="1" t="s">
        <v>252</v>
      </c>
      <c r="K74" s="3" t="s">
        <v>29</v>
      </c>
      <c r="L74" s="7" t="s">
        <v>255</v>
      </c>
      <c r="M74" s="7">
        <v>4</v>
      </c>
      <c r="N74" s="26" t="s">
        <v>24</v>
      </c>
      <c r="O74" s="27"/>
    </row>
    <row r="75" spans="2:15" ht="19">
      <c r="B75" s="9">
        <v>72</v>
      </c>
      <c r="C75" s="1" t="s">
        <v>25</v>
      </c>
      <c r="D75" s="18" t="s">
        <v>256</v>
      </c>
      <c r="E75" s="22" t="s">
        <v>257</v>
      </c>
      <c r="F75" s="5" t="s">
        <v>258</v>
      </c>
      <c r="G75" s="1">
        <v>13.5</v>
      </c>
      <c r="H75" s="1">
        <v>3</v>
      </c>
      <c r="I75" s="14">
        <f t="shared" si="1"/>
        <v>4.5</v>
      </c>
      <c r="J75" s="1" t="s">
        <v>256</v>
      </c>
      <c r="K75" s="3" t="s">
        <v>29</v>
      </c>
      <c r="L75" s="7" t="s">
        <v>255</v>
      </c>
      <c r="M75" s="7">
        <v>4</v>
      </c>
      <c r="N75" s="26" t="s">
        <v>35</v>
      </c>
      <c r="O75" s="27"/>
    </row>
    <row r="76" spans="2:15" ht="19">
      <c r="B76" s="3">
        <v>73</v>
      </c>
      <c r="C76" s="1" t="s">
        <v>259</v>
      </c>
      <c r="D76" s="18" t="s">
        <v>260</v>
      </c>
      <c r="E76" s="22" t="s">
        <v>261</v>
      </c>
      <c r="F76" s="5" t="s">
        <v>262</v>
      </c>
      <c r="G76" s="1">
        <v>13.5</v>
      </c>
      <c r="H76" s="1">
        <v>3</v>
      </c>
      <c r="I76" s="14">
        <f t="shared" si="1"/>
        <v>4.5</v>
      </c>
      <c r="J76" s="1" t="s">
        <v>260</v>
      </c>
      <c r="K76" s="3" t="s">
        <v>29</v>
      </c>
      <c r="L76" s="7" t="s">
        <v>255</v>
      </c>
      <c r="M76" s="7">
        <v>4</v>
      </c>
      <c r="N76" s="26" t="s">
        <v>31</v>
      </c>
      <c r="O76" s="27"/>
    </row>
    <row r="77" spans="2:15" ht="19">
      <c r="B77" s="3">
        <v>74</v>
      </c>
      <c r="C77" s="1" t="s">
        <v>259</v>
      </c>
      <c r="D77" s="18" t="s">
        <v>263</v>
      </c>
      <c r="E77" s="22" t="s">
        <v>264</v>
      </c>
      <c r="F77" s="5" t="s">
        <v>265</v>
      </c>
      <c r="G77" s="1">
        <v>13.5</v>
      </c>
      <c r="H77" s="1">
        <v>3</v>
      </c>
      <c r="I77" s="14">
        <f t="shared" si="1"/>
        <v>4.5</v>
      </c>
      <c r="J77" s="1" t="s">
        <v>263</v>
      </c>
      <c r="K77" s="3" t="s">
        <v>29</v>
      </c>
      <c r="L77" s="7" t="s">
        <v>255</v>
      </c>
      <c r="M77" s="7">
        <v>4</v>
      </c>
      <c r="N77" s="26" t="s">
        <v>52</v>
      </c>
      <c r="O77" s="27"/>
    </row>
    <row r="78" spans="2:15" ht="19">
      <c r="B78" s="3">
        <v>75</v>
      </c>
      <c r="C78" s="1" t="s">
        <v>25</v>
      </c>
      <c r="D78" s="18" t="s">
        <v>266</v>
      </c>
      <c r="E78" s="22" t="s">
        <v>267</v>
      </c>
      <c r="F78" s="5" t="s">
        <v>268</v>
      </c>
      <c r="G78" s="1">
        <v>13.5</v>
      </c>
      <c r="H78" s="1">
        <v>30</v>
      </c>
      <c r="I78" s="12">
        <f t="shared" si="1"/>
        <v>0.45</v>
      </c>
      <c r="J78" s="1" t="s">
        <v>266</v>
      </c>
      <c r="K78" s="3" t="s">
        <v>29</v>
      </c>
      <c r="L78" s="7" t="s">
        <v>269</v>
      </c>
      <c r="M78" s="7">
        <v>3</v>
      </c>
      <c r="N78" s="26" t="s">
        <v>19</v>
      </c>
      <c r="O78" s="27"/>
    </row>
    <row r="79" spans="2:15" ht="19">
      <c r="B79" s="3">
        <v>76</v>
      </c>
      <c r="C79" s="1" t="s">
        <v>25</v>
      </c>
      <c r="D79" s="18" t="s">
        <v>270</v>
      </c>
      <c r="E79" s="22" t="s">
        <v>271</v>
      </c>
      <c r="F79" s="5" t="s">
        <v>272</v>
      </c>
      <c r="G79" s="1">
        <v>13.5</v>
      </c>
      <c r="H79" s="1">
        <v>30</v>
      </c>
      <c r="I79" s="12">
        <f t="shared" si="1"/>
        <v>0.45</v>
      </c>
      <c r="J79" s="1" t="s">
        <v>270</v>
      </c>
      <c r="K79" s="3" t="s">
        <v>29</v>
      </c>
      <c r="L79" s="7" t="s">
        <v>269</v>
      </c>
      <c r="M79" s="7">
        <v>3</v>
      </c>
      <c r="N79" s="26" t="s">
        <v>35</v>
      </c>
      <c r="O79" s="27"/>
    </row>
    <row r="80" spans="2:15" ht="19">
      <c r="B80" s="9">
        <v>77</v>
      </c>
      <c r="C80" s="1" t="s">
        <v>25</v>
      </c>
      <c r="D80" s="18" t="s">
        <v>273</v>
      </c>
      <c r="E80" s="22" t="s">
        <v>274</v>
      </c>
      <c r="F80" s="5" t="s">
        <v>275</v>
      </c>
      <c r="G80" s="1">
        <v>13.5</v>
      </c>
      <c r="H80" s="1">
        <v>30</v>
      </c>
      <c r="I80" s="12">
        <f t="shared" si="1"/>
        <v>0.45</v>
      </c>
      <c r="J80" s="1" t="s">
        <v>273</v>
      </c>
      <c r="K80" s="3" t="s">
        <v>29</v>
      </c>
      <c r="L80" s="7" t="s">
        <v>269</v>
      </c>
      <c r="M80" s="7">
        <v>3</v>
      </c>
      <c r="N80" s="26" t="s">
        <v>24</v>
      </c>
      <c r="O80" s="27"/>
    </row>
    <row r="81" spans="2:15" ht="19">
      <c r="B81" s="3">
        <v>78</v>
      </c>
      <c r="C81" s="1" t="s">
        <v>259</v>
      </c>
      <c r="D81" s="18" t="s">
        <v>276</v>
      </c>
      <c r="E81" s="22" t="s">
        <v>277</v>
      </c>
      <c r="F81" s="5" t="s">
        <v>278</v>
      </c>
      <c r="G81" s="1">
        <v>13.5</v>
      </c>
      <c r="H81" s="1">
        <v>3</v>
      </c>
      <c r="I81" s="14">
        <f t="shared" si="1"/>
        <v>4.5</v>
      </c>
      <c r="J81" s="1" t="s">
        <v>276</v>
      </c>
      <c r="K81" s="3" t="s">
        <v>29</v>
      </c>
      <c r="L81" s="7" t="s">
        <v>279</v>
      </c>
      <c r="M81" s="7">
        <v>4</v>
      </c>
      <c r="N81" s="26" t="s">
        <v>35</v>
      </c>
      <c r="O81" s="27" t="s">
        <v>280</v>
      </c>
    </row>
    <row r="82" spans="2:15" ht="19">
      <c r="B82" s="3">
        <v>79</v>
      </c>
      <c r="C82" s="1" t="s">
        <v>259</v>
      </c>
      <c r="D82" s="18" t="s">
        <v>281</v>
      </c>
      <c r="E82" s="22" t="s">
        <v>282</v>
      </c>
      <c r="F82" s="5" t="s">
        <v>283</v>
      </c>
      <c r="G82" s="1">
        <v>13.5</v>
      </c>
      <c r="H82" s="1">
        <v>3</v>
      </c>
      <c r="I82" s="14">
        <f t="shared" si="1"/>
        <v>4.5</v>
      </c>
      <c r="J82" s="1" t="s">
        <v>281</v>
      </c>
      <c r="K82" s="3" t="s">
        <v>29</v>
      </c>
      <c r="L82" s="7" t="s">
        <v>279</v>
      </c>
      <c r="M82" s="7">
        <v>4</v>
      </c>
      <c r="N82" s="26" t="s">
        <v>52</v>
      </c>
      <c r="O82" s="27"/>
    </row>
    <row r="83" spans="2:15" ht="19">
      <c r="B83" s="3">
        <v>80</v>
      </c>
      <c r="C83" s="1" t="s">
        <v>259</v>
      </c>
      <c r="D83" s="18" t="s">
        <v>284</v>
      </c>
      <c r="E83" s="22" t="s">
        <v>285</v>
      </c>
      <c r="F83" s="5" t="s">
        <v>286</v>
      </c>
      <c r="G83" s="1">
        <v>13.5</v>
      </c>
      <c r="H83" s="1">
        <v>3</v>
      </c>
      <c r="I83" s="14">
        <f t="shared" si="1"/>
        <v>4.5</v>
      </c>
      <c r="J83" s="1" t="s">
        <v>284</v>
      </c>
      <c r="K83" s="3" t="s">
        <v>29</v>
      </c>
      <c r="L83" s="7" t="s">
        <v>279</v>
      </c>
      <c r="M83" s="7">
        <v>4</v>
      </c>
      <c r="N83" s="26" t="s">
        <v>52</v>
      </c>
      <c r="O83" s="27"/>
    </row>
    <row r="84" spans="2:15" ht="19">
      <c r="B84" s="3">
        <v>81</v>
      </c>
      <c r="C84" s="1" t="s">
        <v>259</v>
      </c>
      <c r="D84" s="18" t="s">
        <v>287</v>
      </c>
      <c r="E84" s="22" t="s">
        <v>288</v>
      </c>
      <c r="F84" s="5" t="s">
        <v>289</v>
      </c>
      <c r="G84" s="1">
        <v>13.5</v>
      </c>
      <c r="H84" s="1">
        <v>3</v>
      </c>
      <c r="I84" s="14">
        <f t="shared" si="1"/>
        <v>4.5</v>
      </c>
      <c r="J84" s="1" t="s">
        <v>287</v>
      </c>
      <c r="K84" s="3" t="s">
        <v>29</v>
      </c>
      <c r="L84" s="7" t="s">
        <v>279</v>
      </c>
      <c r="M84" s="7">
        <v>4</v>
      </c>
      <c r="N84" s="26" t="s">
        <v>24</v>
      </c>
      <c r="O84" s="27"/>
    </row>
    <row r="85" spans="2:15" ht="19">
      <c r="B85" s="3">
        <v>82</v>
      </c>
      <c r="C85" s="28" t="s">
        <v>290</v>
      </c>
      <c r="D85" s="29"/>
      <c r="E85" s="29"/>
      <c r="F85" s="29"/>
      <c r="G85" s="29"/>
      <c r="H85" s="29"/>
      <c r="I85" s="30"/>
      <c r="J85" s="1" t="s">
        <v>291</v>
      </c>
      <c r="K85" s="3" t="s">
        <v>29</v>
      </c>
      <c r="L85" s="7" t="s">
        <v>269</v>
      </c>
      <c r="M85" s="7">
        <v>3</v>
      </c>
      <c r="N85" s="26"/>
      <c r="O85" s="27"/>
    </row>
    <row r="86" spans="2:15" ht="34.75" customHeight="1">
      <c r="B86" s="3">
        <v>83</v>
      </c>
      <c r="C86" s="28" t="s">
        <v>290</v>
      </c>
      <c r="D86" s="29"/>
      <c r="E86" s="29"/>
      <c r="F86" s="29"/>
      <c r="G86" s="29"/>
      <c r="H86" s="29"/>
      <c r="I86" s="30"/>
      <c r="J86" s="1" t="s">
        <v>292</v>
      </c>
      <c r="K86" s="3" t="s">
        <v>29</v>
      </c>
      <c r="L86" s="7" t="s">
        <v>269</v>
      </c>
      <c r="M86" s="7">
        <v>3</v>
      </c>
      <c r="N86" s="26"/>
      <c r="O86" s="27"/>
    </row>
    <row r="87" spans="2:15" ht="34.75" customHeight="1">
      <c r="B87" s="3">
        <v>84</v>
      </c>
      <c r="C87" s="28" t="s">
        <v>290</v>
      </c>
      <c r="D87" s="29"/>
      <c r="E87" s="29"/>
      <c r="F87" s="29"/>
      <c r="G87" s="29"/>
      <c r="H87" s="29"/>
      <c r="I87" s="30"/>
      <c r="J87" s="1" t="s">
        <v>293</v>
      </c>
      <c r="K87" s="3" t="s">
        <v>29</v>
      </c>
      <c r="L87" s="7" t="s">
        <v>269</v>
      </c>
      <c r="M87" s="7">
        <v>3</v>
      </c>
      <c r="N87" s="26"/>
      <c r="O87" s="27"/>
    </row>
    <row r="88" spans="2:15" ht="19">
      <c r="B88" s="3">
        <v>85</v>
      </c>
      <c r="C88" s="1" t="s">
        <v>164</v>
      </c>
      <c r="D88" s="18" t="s">
        <v>294</v>
      </c>
      <c r="E88" s="23" t="s">
        <v>295</v>
      </c>
      <c r="F88" s="5" t="s">
        <v>296</v>
      </c>
      <c r="G88" s="1">
        <v>13.5</v>
      </c>
      <c r="H88" s="1">
        <v>1</v>
      </c>
      <c r="I88" s="14">
        <f t="shared" si="1"/>
        <v>13.5</v>
      </c>
      <c r="J88" s="1" t="s">
        <v>294</v>
      </c>
      <c r="K88" s="3" t="s">
        <v>29</v>
      </c>
      <c r="L88" s="7" t="s">
        <v>297</v>
      </c>
      <c r="M88" s="7">
        <v>4</v>
      </c>
      <c r="N88" s="26" t="s">
        <v>19</v>
      </c>
      <c r="O88" s="27"/>
    </row>
    <row r="89" spans="2:15" ht="52.25" customHeight="1">
      <c r="B89" s="3">
        <v>86</v>
      </c>
      <c r="C89" s="1" t="s">
        <v>25</v>
      </c>
      <c r="D89" s="18" t="s">
        <v>298</v>
      </c>
      <c r="E89" s="23" t="s">
        <v>299</v>
      </c>
      <c r="F89" s="5" t="s">
        <v>300</v>
      </c>
      <c r="G89" s="1">
        <v>13.5</v>
      </c>
      <c r="H89" s="1">
        <v>6.14</v>
      </c>
      <c r="I89" s="12">
        <f t="shared" si="1"/>
        <v>2.1986970684039089</v>
      </c>
      <c r="J89" s="1" t="s">
        <v>298</v>
      </c>
      <c r="K89" s="3" t="s">
        <v>29</v>
      </c>
      <c r="L89" s="7" t="s">
        <v>269</v>
      </c>
      <c r="M89" s="7">
        <v>3</v>
      </c>
      <c r="N89" s="26" t="s">
        <v>52</v>
      </c>
      <c r="O89" s="27"/>
    </row>
    <row r="90" spans="2:15" ht="52.25" customHeight="1">
      <c r="B90" s="3">
        <v>87</v>
      </c>
      <c r="C90" s="1" t="s">
        <v>25</v>
      </c>
      <c r="D90" s="18" t="s">
        <v>301</v>
      </c>
      <c r="E90" s="23" t="s">
        <v>302</v>
      </c>
      <c r="F90" s="5" t="s">
        <v>303</v>
      </c>
      <c r="G90" s="1">
        <v>13.5</v>
      </c>
      <c r="H90" s="1">
        <v>15.67</v>
      </c>
      <c r="I90" s="12">
        <f t="shared" si="1"/>
        <v>0.86151882578174854</v>
      </c>
      <c r="J90" s="1" t="s">
        <v>301</v>
      </c>
      <c r="K90" s="3" t="s">
        <v>29</v>
      </c>
      <c r="L90" s="7" t="s">
        <v>269</v>
      </c>
      <c r="M90" s="7">
        <v>3</v>
      </c>
      <c r="N90" s="26" t="s">
        <v>19</v>
      </c>
      <c r="O90" s="27"/>
    </row>
    <row r="91" spans="2:15" ht="34.75" customHeight="1">
      <c r="B91" s="3">
        <v>88</v>
      </c>
      <c r="C91" s="28" t="s">
        <v>290</v>
      </c>
      <c r="D91" s="29"/>
      <c r="E91" s="29"/>
      <c r="F91" s="29"/>
      <c r="G91" s="29"/>
      <c r="H91" s="29"/>
      <c r="I91" s="30"/>
      <c r="J91" s="3" t="s">
        <v>304</v>
      </c>
      <c r="K91" s="3" t="s">
        <v>29</v>
      </c>
      <c r="L91" s="7" t="s">
        <v>305</v>
      </c>
      <c r="M91" s="7">
        <v>5</v>
      </c>
      <c r="N91" s="26"/>
      <c r="O91" s="27"/>
    </row>
    <row r="92" spans="2:15" ht="19">
      <c r="B92" s="9">
        <v>89</v>
      </c>
      <c r="C92" s="1" t="s">
        <v>25</v>
      </c>
      <c r="D92" s="18" t="s">
        <v>306</v>
      </c>
      <c r="E92" s="22" t="s">
        <v>307</v>
      </c>
      <c r="F92" s="5" t="s">
        <v>308</v>
      </c>
      <c r="G92" s="1">
        <v>13.5</v>
      </c>
      <c r="H92" s="1">
        <v>3</v>
      </c>
      <c r="I92" s="15">
        <f t="shared" si="1"/>
        <v>4.5</v>
      </c>
      <c r="J92" s="1" t="s">
        <v>306</v>
      </c>
      <c r="K92" s="3" t="s">
        <v>29</v>
      </c>
      <c r="L92" s="7" t="s">
        <v>309</v>
      </c>
      <c r="M92" s="7">
        <v>5</v>
      </c>
      <c r="N92" s="26" t="s">
        <v>52</v>
      </c>
      <c r="O92" s="27" t="s">
        <v>310</v>
      </c>
    </row>
    <row r="93" spans="2:15" ht="38">
      <c r="B93" s="3">
        <v>90</v>
      </c>
      <c r="C93" s="1" t="s">
        <v>164</v>
      </c>
      <c r="D93" s="19" t="s">
        <v>337</v>
      </c>
      <c r="E93" s="22" t="s">
        <v>312</v>
      </c>
      <c r="F93" s="5" t="s">
        <v>313</v>
      </c>
      <c r="G93" s="1">
        <v>13.5</v>
      </c>
      <c r="H93" s="1">
        <v>2.35</v>
      </c>
      <c r="I93" s="15">
        <f t="shared" si="1"/>
        <v>5.7446808510638299</v>
      </c>
      <c r="J93" s="10" t="s">
        <v>311</v>
      </c>
      <c r="K93" s="3" t="s">
        <v>29</v>
      </c>
      <c r="L93" s="7" t="s">
        <v>309</v>
      </c>
      <c r="M93" s="7">
        <v>5</v>
      </c>
      <c r="N93" s="26" t="s">
        <v>31</v>
      </c>
      <c r="O93" s="27"/>
    </row>
    <row r="94" spans="2:15" ht="19">
      <c r="B94" s="3">
        <v>91</v>
      </c>
      <c r="C94" s="1" t="s">
        <v>164</v>
      </c>
      <c r="D94" s="18" t="s">
        <v>314</v>
      </c>
      <c r="E94" s="22" t="s">
        <v>315</v>
      </c>
      <c r="F94" s="5" t="s">
        <v>316</v>
      </c>
      <c r="G94" s="1">
        <v>13.5</v>
      </c>
      <c r="H94" s="1">
        <v>2.35</v>
      </c>
      <c r="I94" s="15">
        <f t="shared" si="1"/>
        <v>5.7446808510638299</v>
      </c>
      <c r="J94" s="1" t="s">
        <v>317</v>
      </c>
      <c r="K94" s="3" t="s">
        <v>29</v>
      </c>
      <c r="L94" s="7" t="s">
        <v>309</v>
      </c>
      <c r="M94" s="7">
        <v>5</v>
      </c>
      <c r="N94" s="26" t="s">
        <v>35</v>
      </c>
      <c r="O94" s="27"/>
    </row>
    <row r="95" spans="2:15" ht="34.75" customHeight="1">
      <c r="B95" s="3">
        <v>92</v>
      </c>
      <c r="C95" s="28" t="s">
        <v>290</v>
      </c>
      <c r="D95" s="29"/>
      <c r="E95" s="29"/>
      <c r="F95" s="29"/>
      <c r="G95" s="29"/>
      <c r="H95" s="29"/>
      <c r="I95" s="30"/>
      <c r="J95" s="1" t="s">
        <v>318</v>
      </c>
      <c r="K95" s="3" t="s">
        <v>29</v>
      </c>
      <c r="L95" s="7" t="s">
        <v>305</v>
      </c>
      <c r="M95" s="7">
        <v>5</v>
      </c>
      <c r="N95" s="26"/>
      <c r="O95" s="27"/>
    </row>
    <row r="96" spans="2:15" ht="19">
      <c r="B96" s="3">
        <v>93</v>
      </c>
      <c r="C96" s="1" t="s">
        <v>164</v>
      </c>
      <c r="D96" s="18" t="s">
        <v>319</v>
      </c>
      <c r="E96" s="22" t="s">
        <v>320</v>
      </c>
      <c r="F96" s="5" t="s">
        <v>321</v>
      </c>
      <c r="G96" s="1">
        <v>13.5</v>
      </c>
      <c r="H96" s="1">
        <v>1.82</v>
      </c>
      <c r="I96" s="15">
        <f t="shared" si="1"/>
        <v>7.417582417582417</v>
      </c>
      <c r="J96" s="1" t="s">
        <v>319</v>
      </c>
      <c r="K96" s="3" t="s">
        <v>29</v>
      </c>
      <c r="L96" s="7" t="s">
        <v>305</v>
      </c>
      <c r="M96" s="7">
        <v>5</v>
      </c>
      <c r="N96" s="26" t="s">
        <v>19</v>
      </c>
      <c r="O96" s="27"/>
    </row>
    <row r="97" spans="2:15" ht="34.75" customHeight="1">
      <c r="B97" s="3">
        <v>94</v>
      </c>
      <c r="C97" s="28" t="s">
        <v>290</v>
      </c>
      <c r="D97" s="29"/>
      <c r="E97" s="29"/>
      <c r="F97" s="29"/>
      <c r="G97" s="29"/>
      <c r="H97" s="29"/>
      <c r="I97" s="30"/>
      <c r="J97" s="1" t="s">
        <v>322</v>
      </c>
      <c r="K97" s="3" t="s">
        <v>29</v>
      </c>
      <c r="L97" s="7" t="s">
        <v>323</v>
      </c>
      <c r="M97" s="7">
        <v>5</v>
      </c>
      <c r="N97" s="26"/>
      <c r="O97" s="27"/>
    </row>
    <row r="98" spans="2:15" ht="34.75" customHeight="1">
      <c r="B98" s="3">
        <v>95</v>
      </c>
      <c r="C98" s="28" t="s">
        <v>290</v>
      </c>
      <c r="D98" s="29"/>
      <c r="E98" s="29"/>
      <c r="F98" s="29"/>
      <c r="G98" s="29"/>
      <c r="H98" s="29"/>
      <c r="I98" s="30"/>
      <c r="J98" s="1" t="s">
        <v>324</v>
      </c>
      <c r="K98" s="3" t="s">
        <v>29</v>
      </c>
      <c r="L98" s="7" t="s">
        <v>325</v>
      </c>
      <c r="M98" s="7">
        <v>6</v>
      </c>
      <c r="N98" s="26"/>
      <c r="O98" s="27"/>
    </row>
    <row r="99" spans="2:15" ht="19">
      <c r="B99" s="3">
        <v>96</v>
      </c>
      <c r="C99" s="1" t="s">
        <v>164</v>
      </c>
      <c r="D99" s="18" t="s">
        <v>326</v>
      </c>
      <c r="E99" s="22" t="s">
        <v>327</v>
      </c>
      <c r="F99" s="5" t="s">
        <v>328</v>
      </c>
      <c r="G99" s="1">
        <v>13.5</v>
      </c>
      <c r="H99" s="1">
        <v>1</v>
      </c>
      <c r="I99" s="16">
        <f t="shared" si="1"/>
        <v>13.5</v>
      </c>
      <c r="J99" s="1" t="s">
        <v>329</v>
      </c>
      <c r="K99" s="3" t="s">
        <v>29</v>
      </c>
      <c r="L99" s="7" t="s">
        <v>330</v>
      </c>
      <c r="M99" s="7">
        <v>6</v>
      </c>
      <c r="N99" s="26" t="s">
        <v>24</v>
      </c>
      <c r="O99" s="27"/>
    </row>
    <row r="100" spans="2:15" ht="19">
      <c r="B100" s="3">
        <v>97</v>
      </c>
      <c r="C100" s="1" t="s">
        <v>259</v>
      </c>
      <c r="D100" s="18" t="s">
        <v>331</v>
      </c>
      <c r="E100" s="22" t="s">
        <v>332</v>
      </c>
      <c r="F100" s="5" t="s">
        <v>333</v>
      </c>
      <c r="G100" s="1">
        <v>13.5</v>
      </c>
      <c r="H100" s="1">
        <v>3</v>
      </c>
      <c r="I100" s="15">
        <f t="shared" si="1"/>
        <v>4.5</v>
      </c>
      <c r="J100" s="1" t="s">
        <v>331</v>
      </c>
      <c r="K100" s="3" t="s">
        <v>334</v>
      </c>
      <c r="L100" s="7" t="s">
        <v>305</v>
      </c>
      <c r="M100" s="7">
        <v>5</v>
      </c>
      <c r="N100" s="26" t="s">
        <v>19</v>
      </c>
      <c r="O100" s="27"/>
    </row>
  </sheetData>
  <autoFilter ref="B3:O100" xr:uid="{00000000-0001-0000-0200-000000000000}"/>
  <mergeCells count="16">
    <mergeCell ref="O92:O100"/>
    <mergeCell ref="C95:I95"/>
    <mergeCell ref="C97:I97"/>
    <mergeCell ref="C98:I98"/>
    <mergeCell ref="O70:O80"/>
    <mergeCell ref="O81:O91"/>
    <mergeCell ref="C85:I85"/>
    <mergeCell ref="C86:I86"/>
    <mergeCell ref="C87:I87"/>
    <mergeCell ref="C91:I91"/>
    <mergeCell ref="O59:O69"/>
    <mergeCell ref="O4:O14"/>
    <mergeCell ref="O15:O25"/>
    <mergeCell ref="O26:O36"/>
    <mergeCell ref="O37:O47"/>
    <mergeCell ref="O48:O58"/>
  </mergeCells>
  <phoneticPr fontId="2" type="noConversion"/>
  <pageMargins left="0.7" right="0.7" top="0.75" bottom="0.75" header="0.3" footer="0.3"/>
  <pageSetup paperSize="9" scale="2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EVO High variant CS load box</vt:lpstr>
    </vt:vector>
  </TitlesOfParts>
  <Company>DEKRA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Chen (陳宥伸)</dc:creator>
  <cp:lastModifiedBy>aog1qc6</cp:lastModifiedBy>
  <dcterms:created xsi:type="dcterms:W3CDTF">2026-04-10T16:36:29Z</dcterms:created>
  <dcterms:modified xsi:type="dcterms:W3CDTF">2026-04-10T21:42:58Z</dcterms:modified>
</cp:coreProperties>
</file>